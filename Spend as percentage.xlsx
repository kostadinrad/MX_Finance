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224380099ec4b3/Documents/FinanceMX/MX_Finance/"/>
    </mc:Choice>
  </mc:AlternateContent>
  <xr:revisionPtr revIDLastSave="1035" documentId="8_{5861C6C4-333F-4F3B-B0FE-C9E2151B6F12}" xr6:coauthVersionLast="47" xr6:coauthVersionMax="47" xr10:uidLastSave="{65AE4836-97BC-44B3-B09B-E331EAE7B10E}"/>
  <bookViews>
    <workbookView xWindow="972" yWindow="1224" windowWidth="20520" windowHeight="12456" xr2:uid="{2A262237-2F11-43D0-ACD0-6DB147DC098E}"/>
  </bookViews>
  <sheets>
    <sheet name="Simulation" sheetId="10" r:id="rId1"/>
    <sheet name="Clean FIN EUR" sheetId="9" r:id="rId2"/>
    <sheet name="Clean FIN MXN" sheetId="7" r:id="rId3"/>
    <sheet name="Calc - opperational" sheetId="4" r:id="rId4"/>
    <sheet name="Glossary" sheetId="5" r:id="rId5"/>
    <sheet name="Payment+Assesment" sheetId="6" r:id="rId6"/>
    <sheet name="03-2026" sheetId="1" r:id="rId7"/>
    <sheet name="04-2026" sheetId="2" r:id="rId8"/>
    <sheet name="05-2026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0" l="1"/>
  <c r="C13" i="10" s="1"/>
  <c r="I4" i="9"/>
  <c r="E7" i="9"/>
  <c r="E8" i="9"/>
  <c r="J21" i="4"/>
  <c r="K21" i="4"/>
  <c r="K10" i="4"/>
  <c r="D7" i="9"/>
  <c r="D5" i="9"/>
  <c r="D8" i="9"/>
  <c r="D6" i="9"/>
  <c r="D4" i="9"/>
  <c r="G25" i="9"/>
  <c r="E25" i="9"/>
  <c r="G24" i="9"/>
  <c r="F25" i="9"/>
  <c r="G13" i="9"/>
  <c r="G14" i="9"/>
  <c r="G15" i="9"/>
  <c r="G16" i="9"/>
  <c r="G17" i="9"/>
  <c r="G18" i="9"/>
  <c r="G19" i="9"/>
  <c r="G20" i="9"/>
  <c r="G21" i="9"/>
  <c r="G22" i="9"/>
  <c r="G23" i="9"/>
  <c r="E3" i="9"/>
  <c r="D3" i="9"/>
  <c r="I23" i="9"/>
  <c r="I22" i="9"/>
  <c r="I21" i="9"/>
  <c r="I20" i="9"/>
  <c r="I19" i="9"/>
  <c r="I17" i="9"/>
  <c r="I16" i="9"/>
  <c r="I15" i="9"/>
  <c r="I14" i="9"/>
  <c r="H19" i="9"/>
  <c r="H15" i="9"/>
  <c r="H16" i="9"/>
  <c r="E23" i="9"/>
  <c r="E22" i="9"/>
  <c r="E21" i="9"/>
  <c r="E20" i="9"/>
  <c r="E19" i="9"/>
  <c r="E17" i="9"/>
  <c r="E16" i="9"/>
  <c r="E15" i="9"/>
  <c r="H14" i="9"/>
  <c r="E14" i="9"/>
  <c r="I13" i="9"/>
  <c r="E13" i="9"/>
  <c r="I11" i="9"/>
  <c r="G11" i="9"/>
  <c r="E11" i="9"/>
  <c r="F20" i="9" s="1"/>
  <c r="H22" i="9"/>
  <c r="H20" i="9"/>
  <c r="H18" i="9"/>
  <c r="H13" i="9"/>
  <c r="F2" i="9"/>
  <c r="E2" i="9"/>
  <c r="D2" i="9"/>
  <c r="G25" i="7"/>
  <c r="E25" i="7"/>
  <c r="E18" i="7"/>
  <c r="J13" i="7"/>
  <c r="H13" i="7"/>
  <c r="F13" i="7"/>
  <c r="J6" i="4"/>
  <c r="G14" i="7" s="1"/>
  <c r="G6" i="4"/>
  <c r="E14" i="7" s="1"/>
  <c r="D6" i="4"/>
  <c r="E6" i="4" s="1"/>
  <c r="I14" i="7"/>
  <c r="J14" i="7" s="1"/>
  <c r="I21" i="7"/>
  <c r="G15" i="7"/>
  <c r="H15" i="7" s="1"/>
  <c r="E15" i="7"/>
  <c r="F15" i="7" s="1"/>
  <c r="F3" i="7"/>
  <c r="G23" i="4"/>
  <c r="G19" i="7" s="1"/>
  <c r="D23" i="4"/>
  <c r="J23" i="4"/>
  <c r="E17" i="7"/>
  <c r="G17" i="7"/>
  <c r="I17" i="7"/>
  <c r="E3" i="7"/>
  <c r="D3" i="7"/>
  <c r="G20" i="4"/>
  <c r="I20" i="4" s="1"/>
  <c r="J20" i="4"/>
  <c r="K20" i="4" s="1"/>
  <c r="J14" i="4"/>
  <c r="I16" i="7" s="1"/>
  <c r="J52" i="4"/>
  <c r="G52" i="4"/>
  <c r="D52" i="4"/>
  <c r="D49" i="4"/>
  <c r="E22" i="7" s="1"/>
  <c r="J49" i="4"/>
  <c r="J42" i="4"/>
  <c r="G42" i="4"/>
  <c r="G21" i="7" s="1"/>
  <c r="D42" i="4"/>
  <c r="E21" i="7" s="1"/>
  <c r="D31" i="4"/>
  <c r="G31" i="4"/>
  <c r="J31" i="4"/>
  <c r="I19" i="7"/>
  <c r="E19" i="7"/>
  <c r="D19" i="4"/>
  <c r="G14" i="4"/>
  <c r="G16" i="7" s="1"/>
  <c r="D14" i="4"/>
  <c r="K6" i="4"/>
  <c r="F2" i="7"/>
  <c r="E2" i="7"/>
  <c r="D2" i="7"/>
  <c r="I23" i="7"/>
  <c r="I24" i="7" s="1"/>
  <c r="I22" i="7"/>
  <c r="I20" i="7"/>
  <c r="J20" i="7" s="1"/>
  <c r="I15" i="7"/>
  <c r="G23" i="7"/>
  <c r="H23" i="7" s="1"/>
  <c r="G22" i="7"/>
  <c r="G20" i="7"/>
  <c r="H20" i="7" s="1"/>
  <c r="E23" i="7"/>
  <c r="E20" i="7"/>
  <c r="F20" i="7" s="1"/>
  <c r="E16" i="7"/>
  <c r="F16" i="7" s="1"/>
  <c r="J53" i="4"/>
  <c r="J51" i="4"/>
  <c r="K51" i="4" s="1"/>
  <c r="L51" i="4"/>
  <c r="J47" i="4"/>
  <c r="K47" i="4" s="1"/>
  <c r="J46" i="4"/>
  <c r="J44" i="4"/>
  <c r="L44" i="4" s="1"/>
  <c r="J43" i="4"/>
  <c r="J40" i="4"/>
  <c r="K40" i="4" s="1"/>
  <c r="J39" i="4"/>
  <c r="K39" i="4"/>
  <c r="L39" i="4"/>
  <c r="L40" i="4"/>
  <c r="J37" i="4"/>
  <c r="J36" i="4"/>
  <c r="J35" i="4"/>
  <c r="J34" i="4"/>
  <c r="L34" i="4" s="1"/>
  <c r="J33" i="4"/>
  <c r="J32" i="4"/>
  <c r="J28" i="4"/>
  <c r="K28" i="4" s="1"/>
  <c r="J29" i="4"/>
  <c r="K29" i="4" s="1"/>
  <c r="J17" i="4"/>
  <c r="J25" i="4"/>
  <c r="J24" i="4"/>
  <c r="L17" i="4"/>
  <c r="J9" i="4"/>
  <c r="L9" i="4" s="1"/>
  <c r="J8" i="4"/>
  <c r="J7" i="4"/>
  <c r="G46" i="4"/>
  <c r="H46" i="4" s="1"/>
  <c r="G10" i="4"/>
  <c r="G54" i="4"/>
  <c r="G53" i="4"/>
  <c r="G39" i="4"/>
  <c r="H39" i="4"/>
  <c r="I39" i="4"/>
  <c r="G9" i="4"/>
  <c r="H9" i="4" s="1"/>
  <c r="I9" i="4"/>
  <c r="G47" i="4"/>
  <c r="H47" i="4" s="1"/>
  <c r="G45" i="4"/>
  <c r="H45" i="4" s="1"/>
  <c r="G44" i="4"/>
  <c r="G43" i="4"/>
  <c r="G38" i="4"/>
  <c r="G36" i="4"/>
  <c r="J38" i="4"/>
  <c r="K38" i="4"/>
  <c r="L38" i="4"/>
  <c r="G35" i="4"/>
  <c r="H35" i="4" s="1"/>
  <c r="G34" i="4"/>
  <c r="I34" i="4" s="1"/>
  <c r="G33" i="4"/>
  <c r="H33" i="4" s="1"/>
  <c r="G32" i="4"/>
  <c r="G29" i="4"/>
  <c r="I29" i="4" s="1"/>
  <c r="G28" i="4"/>
  <c r="I28" i="4" s="1"/>
  <c r="G27" i="4"/>
  <c r="L54" i="4"/>
  <c r="K54" i="4"/>
  <c r="I54" i="4"/>
  <c r="H54" i="4"/>
  <c r="K44" i="4"/>
  <c r="K45" i="4"/>
  <c r="L45" i="4"/>
  <c r="K46" i="4"/>
  <c r="L46" i="4"/>
  <c r="L47" i="4"/>
  <c r="H44" i="4"/>
  <c r="I44" i="4"/>
  <c r="K33" i="4"/>
  <c r="L33" i="4"/>
  <c r="K35" i="4"/>
  <c r="L35" i="4"/>
  <c r="K36" i="4"/>
  <c r="L36" i="4"/>
  <c r="K37" i="4"/>
  <c r="L37" i="4"/>
  <c r="I33" i="4"/>
  <c r="H36" i="4"/>
  <c r="I36" i="4"/>
  <c r="H37" i="4"/>
  <c r="I37" i="4"/>
  <c r="H38" i="4"/>
  <c r="I38" i="4"/>
  <c r="G25" i="4"/>
  <c r="H25" i="4" s="1"/>
  <c r="G24" i="4"/>
  <c r="H12" i="4"/>
  <c r="I12" i="4"/>
  <c r="K12" i="4"/>
  <c r="L12" i="4"/>
  <c r="K16" i="4"/>
  <c r="L16" i="4"/>
  <c r="K25" i="4"/>
  <c r="L25" i="4"/>
  <c r="K26" i="4"/>
  <c r="L26" i="4"/>
  <c r="K27" i="4"/>
  <c r="L27" i="4"/>
  <c r="H26" i="4"/>
  <c r="I26" i="4"/>
  <c r="H27" i="4"/>
  <c r="I27" i="4"/>
  <c r="H29" i="4"/>
  <c r="H16" i="4"/>
  <c r="I16" i="4"/>
  <c r="G16" i="4"/>
  <c r="G15" i="4"/>
  <c r="H15" i="4" s="1"/>
  <c r="G11" i="4"/>
  <c r="H11" i="4"/>
  <c r="K8" i="4"/>
  <c r="L8" i="4"/>
  <c r="J10" i="4"/>
  <c r="L10" i="4"/>
  <c r="K11" i="4"/>
  <c r="L11" i="4"/>
  <c r="J15" i="4"/>
  <c r="J16" i="4"/>
  <c r="K24" i="4"/>
  <c r="L24" i="4"/>
  <c r="J26" i="4"/>
  <c r="J27" i="4"/>
  <c r="K43" i="4"/>
  <c r="L43" i="4"/>
  <c r="J45" i="4"/>
  <c r="J50" i="4"/>
  <c r="K50" i="4" s="1"/>
  <c r="J54" i="4"/>
  <c r="I53" i="4"/>
  <c r="H53" i="4"/>
  <c r="I50" i="4"/>
  <c r="H50" i="4"/>
  <c r="I49" i="4"/>
  <c r="H49" i="4"/>
  <c r="I43" i="4"/>
  <c r="H43" i="4"/>
  <c r="I32" i="4"/>
  <c r="H32" i="4"/>
  <c r="I24" i="4"/>
  <c r="H24" i="4"/>
  <c r="I15" i="4"/>
  <c r="I11" i="4"/>
  <c r="I8" i="4"/>
  <c r="H8" i="4"/>
  <c r="G8" i="4"/>
  <c r="G7" i="4"/>
  <c r="I7" i="4" s="1"/>
  <c r="G26" i="4"/>
  <c r="G37" i="4"/>
  <c r="G49" i="4"/>
  <c r="G50" i="4"/>
  <c r="F54" i="4"/>
  <c r="E54" i="4"/>
  <c r="F43" i="4"/>
  <c r="E43" i="4"/>
  <c r="F34" i="4"/>
  <c r="F35" i="4"/>
  <c r="E37" i="4"/>
  <c r="E33" i="4"/>
  <c r="E32" i="4"/>
  <c r="F26" i="4"/>
  <c r="F27" i="4"/>
  <c r="E29" i="4"/>
  <c r="E25" i="4"/>
  <c r="E24" i="4"/>
  <c r="E23" i="4"/>
  <c r="F20" i="4"/>
  <c r="E16" i="4"/>
  <c r="E15" i="4"/>
  <c r="F15" i="4"/>
  <c r="F12" i="4"/>
  <c r="F11" i="4"/>
  <c r="E12" i="4"/>
  <c r="E11" i="4"/>
  <c r="F7" i="4"/>
  <c r="F8" i="4"/>
  <c r="D50" i="4"/>
  <c r="E50" i="4" s="1"/>
  <c r="D10" i="4"/>
  <c r="E10" i="4" s="1"/>
  <c r="D16" i="4"/>
  <c r="F16" i="4" s="1"/>
  <c r="D15" i="4"/>
  <c r="D20" i="4"/>
  <c r="D54" i="4"/>
  <c r="D47" i="4"/>
  <c r="F47" i="4" s="1"/>
  <c r="D35" i="4"/>
  <c r="E35" i="4" s="1"/>
  <c r="D37" i="4"/>
  <c r="F37" i="4" s="1"/>
  <c r="D29" i="4"/>
  <c r="F29" i="4" s="1"/>
  <c r="D28" i="4"/>
  <c r="F28" i="4" s="1"/>
  <c r="D33" i="4"/>
  <c r="F33" i="4" s="1"/>
  <c r="D32" i="4"/>
  <c r="F31" i="4" s="1"/>
  <c r="D36" i="4"/>
  <c r="F36" i="4" s="1"/>
  <c r="D53" i="4"/>
  <c r="D46" i="4"/>
  <c r="F46" i="4" s="1"/>
  <c r="D8" i="4"/>
  <c r="E8" i="4" s="1"/>
  <c r="D44" i="4"/>
  <c r="F44" i="4" s="1"/>
  <c r="D43" i="4"/>
  <c r="D7" i="4"/>
  <c r="D45" i="4"/>
  <c r="F45" i="4" s="1"/>
  <c r="D34" i="4"/>
  <c r="E34" i="4" s="1"/>
  <c r="D27" i="4"/>
  <c r="E27" i="4" s="1"/>
  <c r="D26" i="4"/>
  <c r="E26" i="4" s="1"/>
  <c r="D25" i="4"/>
  <c r="F25" i="4" s="1"/>
  <c r="D24" i="4"/>
  <c r="F23" i="4" s="1"/>
  <c r="I24" i="9" l="1"/>
  <c r="J24" i="9" s="1"/>
  <c r="H23" i="9"/>
  <c r="J13" i="9"/>
  <c r="J20" i="9"/>
  <c r="J21" i="9"/>
  <c r="F3" i="9"/>
  <c r="J16" i="9"/>
  <c r="J15" i="9"/>
  <c r="J22" i="9"/>
  <c r="J19" i="9"/>
  <c r="I18" i="9"/>
  <c r="F21" i="9"/>
  <c r="F22" i="9"/>
  <c r="F19" i="9"/>
  <c r="F16" i="9"/>
  <c r="F13" i="9"/>
  <c r="E18" i="9"/>
  <c r="F18" i="9" s="1"/>
  <c r="F15" i="9"/>
  <c r="F23" i="9"/>
  <c r="E4" i="9"/>
  <c r="E5" i="9" s="1"/>
  <c r="H24" i="9"/>
  <c r="H21" i="9"/>
  <c r="J23" i="9"/>
  <c r="F14" i="9"/>
  <c r="E24" i="9"/>
  <c r="J14" i="9"/>
  <c r="I18" i="7"/>
  <c r="I25" i="7" s="1"/>
  <c r="G18" i="7"/>
  <c r="F18" i="7"/>
  <c r="E24" i="7"/>
  <c r="F24" i="7" s="1"/>
  <c r="G24" i="7"/>
  <c r="F6" i="4"/>
  <c r="H18" i="7"/>
  <c r="J23" i="7"/>
  <c r="J15" i="7"/>
  <c r="H22" i="7"/>
  <c r="G19" i="4"/>
  <c r="H20" i="4"/>
  <c r="I19" i="4"/>
  <c r="J19" i="4"/>
  <c r="L19" i="4" s="1"/>
  <c r="F23" i="7"/>
  <c r="F22" i="7"/>
  <c r="J22" i="7"/>
  <c r="J21" i="7"/>
  <c r="H21" i="7"/>
  <c r="F21" i="7"/>
  <c r="J19" i="7"/>
  <c r="H19" i="7"/>
  <c r="F19" i="7"/>
  <c r="E19" i="4"/>
  <c r="J16" i="7"/>
  <c r="H16" i="7"/>
  <c r="G21" i="4"/>
  <c r="H21" i="4" s="1"/>
  <c r="F14" i="7"/>
  <c r="H14" i="7"/>
  <c r="K34" i="4"/>
  <c r="K31" i="4"/>
  <c r="L32" i="4"/>
  <c r="K32" i="4"/>
  <c r="L28" i="4"/>
  <c r="L29" i="4"/>
  <c r="K17" i="4"/>
  <c r="K14" i="4"/>
  <c r="K9" i="4"/>
  <c r="I6" i="4"/>
  <c r="I47" i="4"/>
  <c r="I46" i="4"/>
  <c r="I45" i="4"/>
  <c r="I35" i="4"/>
  <c r="H34" i="4"/>
  <c r="H28" i="4"/>
  <c r="I25" i="4"/>
  <c r="K23" i="4"/>
  <c r="L23" i="4"/>
  <c r="K42" i="4"/>
  <c r="L42" i="4"/>
  <c r="K52" i="4"/>
  <c r="L52" i="4"/>
  <c r="L6" i="4"/>
  <c r="L53" i="4"/>
  <c r="L15" i="4"/>
  <c r="K53" i="4"/>
  <c r="K15" i="4"/>
  <c r="L7" i="4"/>
  <c r="K19" i="4"/>
  <c r="K7" i="4"/>
  <c r="L20" i="4"/>
  <c r="L50" i="4"/>
  <c r="F52" i="4"/>
  <c r="E52" i="4"/>
  <c r="F32" i="4"/>
  <c r="E53" i="4"/>
  <c r="F24" i="4"/>
  <c r="E44" i="4"/>
  <c r="E31" i="4"/>
  <c r="F53" i="4"/>
  <c r="F10" i="4"/>
  <c r="E47" i="4"/>
  <c r="F50" i="4"/>
  <c r="E45" i="4"/>
  <c r="H6" i="4"/>
  <c r="E46" i="4"/>
  <c r="E7" i="4"/>
  <c r="E20" i="4"/>
  <c r="E28" i="4"/>
  <c r="H7" i="4"/>
  <c r="E36" i="4"/>
  <c r="F19" i="4"/>
  <c r="J18" i="9" l="1"/>
  <c r="F7" i="9" s="1"/>
  <c r="F8" i="9" s="1"/>
  <c r="I25" i="9"/>
  <c r="F4" i="9" s="1"/>
  <c r="J25" i="9"/>
  <c r="H25" i="9"/>
  <c r="E6" i="9"/>
  <c r="F24" i="9"/>
  <c r="F4" i="7"/>
  <c r="J25" i="7"/>
  <c r="H19" i="4"/>
  <c r="I21" i="4"/>
  <c r="J18" i="7"/>
  <c r="J56" i="4"/>
  <c r="L56" i="4" s="1"/>
  <c r="L31" i="4"/>
  <c r="L21" i="4"/>
  <c r="L14" i="4"/>
  <c r="H52" i="4"/>
  <c r="I52" i="4"/>
  <c r="H42" i="4"/>
  <c r="I42" i="4"/>
  <c r="I31" i="4"/>
  <c r="H31" i="4"/>
  <c r="H23" i="4"/>
  <c r="I23" i="4"/>
  <c r="H14" i="4"/>
  <c r="I14" i="4"/>
  <c r="I10" i="4"/>
  <c r="H10" i="4"/>
  <c r="K49" i="4"/>
  <c r="L49" i="4"/>
  <c r="F42" i="4"/>
  <c r="E42" i="4"/>
  <c r="F14" i="4"/>
  <c r="E14" i="4"/>
  <c r="E49" i="4"/>
  <c r="F49" i="4"/>
  <c r="D21" i="4"/>
  <c r="D56" i="4"/>
  <c r="G56" i="4"/>
  <c r="F5" i="9" l="1"/>
  <c r="F6" i="9" s="1"/>
  <c r="J24" i="7"/>
  <c r="H24" i="7"/>
  <c r="D4" i="7"/>
  <c r="D5" i="7" s="1"/>
  <c r="K56" i="4"/>
  <c r="J57" i="4"/>
  <c r="H56" i="4"/>
  <c r="I56" i="4"/>
  <c r="F56" i="4"/>
  <c r="E56" i="4"/>
  <c r="D57" i="4"/>
  <c r="E21" i="4"/>
  <c r="F21" i="4"/>
  <c r="G57" i="4"/>
  <c r="E4" i="7" l="1"/>
  <c r="E5" i="7" s="1"/>
  <c r="E6" i="7" s="1"/>
  <c r="H25" i="7"/>
  <c r="D6" i="7"/>
  <c r="F25" i="7"/>
  <c r="K57" i="4"/>
  <c r="F5" i="7"/>
  <c r="F6" i="7" s="1"/>
  <c r="L57" i="4"/>
  <c r="I57" i="4"/>
  <c r="H57" i="4"/>
  <c r="F57" i="4"/>
  <c r="E5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kostadin.radkov</author>
  </authors>
  <commentList>
    <comment ref="B1" authorId="0" shapeId="0" xr:uid="{DDCECF60-B56B-4F23-AD9A-4E39484F0466}">
      <text>
        <r>
          <rPr>
            <b/>
            <sz val="9"/>
            <color indexed="81"/>
            <rFont val="Tahoma"/>
            <family val="2"/>
          </rPr>
          <t>kostadin.radkov:</t>
        </r>
        <r>
          <rPr>
            <sz val="9"/>
            <color indexed="81"/>
            <rFont val="Tahoma"/>
            <family val="2"/>
          </rPr>
          <t xml:space="preserve">
“ISR (income tax)” → below EBITDA in the P&amp;L</t>
        </r>
      </text>
    </comment>
    <comment ref="I16" authorId="0" shapeId="0" xr:uid="{986748C4-4F61-4A6A-9BA9-4E17F6C0449D}">
      <text>
        <r>
          <rPr>
            <b/>
            <sz val="9"/>
            <color indexed="81"/>
            <rFont val="Tahoma"/>
            <family val="2"/>
          </rPr>
          <t xml:space="preserve">kostadin.radkov
Full amount not still in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kostadin.radkov</author>
  </authors>
  <commentList>
    <comment ref="B1" authorId="0" shapeId="0" xr:uid="{E53DBB4E-B383-4883-9C02-C50163BE021C}">
      <text>
        <r>
          <rPr>
            <b/>
            <sz val="9"/>
            <color indexed="81"/>
            <rFont val="Tahoma"/>
            <family val="2"/>
          </rPr>
          <t>kostadin.radkov:</t>
        </r>
        <r>
          <rPr>
            <sz val="9"/>
            <color indexed="81"/>
            <rFont val="Tahoma"/>
            <family val="2"/>
          </rPr>
          <t xml:space="preserve">
“ISR (income tax)” → below EBITDA in the P&amp;L</t>
        </r>
      </text>
    </comment>
    <comment ref="I16" authorId="0" shapeId="0" xr:uid="{5C3292C4-881D-412A-95E2-4B26927FDF8F}">
      <text>
        <r>
          <rPr>
            <b/>
            <sz val="9"/>
            <color indexed="81"/>
            <rFont val="Tahoma"/>
            <family val="2"/>
          </rPr>
          <t xml:space="preserve">kostadin.radkov
Full amount not still in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tc={EE828246-58D6-4443-9F31-E49E5C274F33}</author>
  </authors>
  <commentList>
    <comment ref="J15" authorId="0" shapeId="0" xr:uid="{EE828246-58D6-4443-9F31-E49E5C274F3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 yet</t>
      </text>
    </comment>
  </commentList>
</comments>
</file>

<file path=xl/sharedStrings.xml><?xml version="1.0" encoding="utf-8"?>
<sst xmlns="http://schemas.openxmlformats.org/spreadsheetml/2006/main" count="577" uniqueCount="267">
  <si>
    <t>DESCRIPTION</t>
  </si>
  <si>
    <t>clabe</t>
  </si>
  <si>
    <t>Payment due date</t>
  </si>
  <si>
    <t>week 1 &amp; 2</t>
  </si>
  <si>
    <t>Payroll</t>
  </si>
  <si>
    <t>Employee Termination</t>
  </si>
  <si>
    <t>clabe: '021320066284876685</t>
  </si>
  <si>
    <t>3.3.2026</t>
  </si>
  <si>
    <t>My affiliates</t>
  </si>
  <si>
    <t>Affiliates - Monthly service fee FEB</t>
  </si>
  <si>
    <t>account: 06200015752316 SWIFT: CTBAAU2S</t>
  </si>
  <si>
    <t>13.3.2026</t>
  </si>
  <si>
    <t>FONACOT</t>
  </si>
  <si>
    <t>Mexican government credit institute for workers</t>
  </si>
  <si>
    <t>clabe: 002180026669411987 ref: 2330915</t>
  </si>
  <si>
    <t>6.3.2026</t>
  </si>
  <si>
    <t>Limpieza Renovadora</t>
  </si>
  <si>
    <t>Office cleaning service – monthly fee</t>
  </si>
  <si>
    <t>cuenta: 014320655034105199</t>
  </si>
  <si>
    <t>ACE</t>
  </si>
  <si>
    <t xml:space="preserve">ACE SAT-authorized Service Providers PSA </t>
  </si>
  <si>
    <t>clabe: 014650655098789205</t>
  </si>
  <si>
    <t>Retorno Digital</t>
  </si>
  <si>
    <t>Marketing Agency fee Monthly Services invoice 8729</t>
  </si>
  <si>
    <t>cuenta: 0110244198</t>
  </si>
  <si>
    <t>Google</t>
  </si>
  <si>
    <t>Google Ads Campaigns</t>
  </si>
  <si>
    <t>clabe: 124180002321680136 Ref: 5512143168</t>
  </si>
  <si>
    <t>Federal Taxes</t>
  </si>
  <si>
    <t>Payment of Gaming taxes february 2026</t>
  </si>
  <si>
    <t>clabe: 147150000000447793</t>
  </si>
  <si>
    <t>10.3.2026</t>
  </si>
  <si>
    <t>Cris Matus</t>
  </si>
  <si>
    <t>Reimbursement  (Twilio)</t>
  </si>
  <si>
    <t>Reimbursement  (META)</t>
  </si>
  <si>
    <t>Vanguardia IT</t>
  </si>
  <si>
    <t>Monthly trunk line service</t>
  </si>
  <si>
    <t xml:space="preserve">CLABE 072135002268718996 </t>
  </si>
  <si>
    <t>ALDA</t>
  </si>
  <si>
    <t>ALDA ( Professional fees for obtaining tax rate reduction authorization)</t>
  </si>
  <si>
    <t>clabe: 058650000002386810</t>
  </si>
  <si>
    <t>Nuvei</t>
  </si>
  <si>
    <t>Nuvei Account Funding</t>
  </si>
  <si>
    <t>cuenta: 0123421260</t>
  </si>
  <si>
    <t>9.3.2026</t>
  </si>
  <si>
    <t>Telcel</t>
  </si>
  <si>
    <t>VIP mobile phone lines</t>
  </si>
  <si>
    <t>CONVENIO: 182251 REF: 0505581203708</t>
  </si>
  <si>
    <t>13.2.2026</t>
  </si>
  <si>
    <t>Rent</t>
  </si>
  <si>
    <t>Rent March 2026</t>
  </si>
  <si>
    <t>Maintenance</t>
  </si>
  <si>
    <t>Maintenance March 2026</t>
  </si>
  <si>
    <t>ISN</t>
  </si>
  <si>
    <t>Payroll Tax</t>
  </si>
  <si>
    <t>SIPARE</t>
  </si>
  <si>
    <t>IMSS employer social security contributions</t>
  </si>
  <si>
    <t>1st Half of March 2026 Payroll (1 new CS agent missing from the PDF, added manually to the net amount)</t>
  </si>
  <si>
    <t>2nd Half of March 2026 Payroll</t>
  </si>
  <si>
    <t>29.3.2026</t>
  </si>
  <si>
    <t>Abarrotes Raul</t>
  </si>
  <si>
    <t>Coffee machine supplies</t>
  </si>
  <si>
    <t>convenio: 1397753 referencia: 622068</t>
  </si>
  <si>
    <t>Eugenia Uvalle</t>
  </si>
  <si>
    <t>Reimbursement IMPI payments (5 invoices) (Brand registration)</t>
  </si>
  <si>
    <t>CLABE: 002180701862223080</t>
  </si>
  <si>
    <t>Reimbursement  (Meta)</t>
  </si>
  <si>
    <t>PUBSA</t>
  </si>
  <si>
    <t>First month digital campaignInvoice 12286</t>
  </si>
  <si>
    <t>Limon</t>
  </si>
  <si>
    <t>Accounting firm- Monthly fee (Jan 25)</t>
  </si>
  <si>
    <t>cuenta: 002180026668799480</t>
  </si>
  <si>
    <t>ACE SAT-authorized Service Providers PSA  invoice 1193</t>
  </si>
  <si>
    <t>15.4.2026</t>
  </si>
  <si>
    <t>Marketing Agency fee Monthly Services invoice 8758</t>
  </si>
  <si>
    <t>Affiliates - Monthly service fee MAR 21278</t>
  </si>
  <si>
    <t>Monthly trunk line service 4044</t>
  </si>
  <si>
    <t>Office cleaning service – monthly fee 18588</t>
  </si>
  <si>
    <t>Gaming Taxes</t>
  </si>
  <si>
    <t>Payment of Gaming taxes march 2026</t>
  </si>
  <si>
    <t>10.4.2026</t>
  </si>
  <si>
    <t>ALDA ( Professional fees for obtaining tax rate reduction authorization) 5608</t>
  </si>
  <si>
    <t>Accounting firm- Monthly fee (Dic 25)</t>
  </si>
  <si>
    <t>Amusnet</t>
  </si>
  <si>
    <t>Fees February 2026</t>
  </si>
  <si>
    <t>ES6001822326510201551937 Swift :BBVAESMM</t>
  </si>
  <si>
    <t>Mac Store</t>
  </si>
  <si>
    <t>laptop</t>
  </si>
  <si>
    <t>cuenta: 0143047288</t>
  </si>
  <si>
    <t>´002180026669411987 REF: 2330915</t>
  </si>
  <si>
    <t>Espacio Minerva</t>
  </si>
  <si>
    <t xml:space="preserve">Office Rent </t>
  </si>
  <si>
    <t>clabe: 030320900006212752</t>
  </si>
  <si>
    <t>Office maintenance</t>
  </si>
  <si>
    <t>clabe: 002320700177036231</t>
  </si>
  <si>
    <t>1st Half of April 2026 Payroll</t>
  </si>
  <si>
    <t>Xpertas</t>
  </si>
  <si>
    <t>Expense for office safety signage and fire extinguishers</t>
  </si>
  <si>
    <t>clabe: 021320065287144755</t>
  </si>
  <si>
    <t>inbet KLU</t>
  </si>
  <si>
    <t>1st Half of April 2026 Payroll ( fund KLU)</t>
  </si>
  <si>
    <t>22.4.2026</t>
  </si>
  <si>
    <t>Reimbursement  (Google Cloud)</t>
  </si>
  <si>
    <t>ISR</t>
  </si>
  <si>
    <t>Tax</t>
  </si>
  <si>
    <t>clabe: 124180002321680136 Ref: 5541975269</t>
  </si>
  <si>
    <t>30.4.2026</t>
  </si>
  <si>
    <t>Accounting firm- Monthly fee (FEB 2026) 11591</t>
  </si>
  <si>
    <t>Accounting firm- Monthly fee (MAR 2026) 11601</t>
  </si>
  <si>
    <t>2nd Half of April 2026 Payroll</t>
  </si>
  <si>
    <t>digital campaign Invoice 12440</t>
  </si>
  <si>
    <t>Cuenta: 0185224160</t>
  </si>
  <si>
    <t>Bankaool</t>
  </si>
  <si>
    <t>Bankaool Account Funding (META TWILIO VIRTUAL CARD)</t>
  </si>
  <si>
    <t>Abasteo</t>
  </si>
  <si>
    <t xml:space="preserve">IT Office supplies ( Monitor Dell U2724DE LCD 27") 3Q Laptop , Disco Duro </t>
  </si>
  <si>
    <t>Convenio CIE: 1235036</t>
  </si>
  <si>
    <t>15.5.2026</t>
  </si>
  <si>
    <t>Monthly trunk line service 4044 14352</t>
  </si>
  <si>
    <t>Marketing Agency fee Monthly Services invoice 8778</t>
  </si>
  <si>
    <t>cuenta: 0110244198 clabe : 012320001102441988</t>
  </si>
  <si>
    <t>ACE SAT-authorized Service Providers PSA  invoice 1251</t>
  </si>
  <si>
    <t>ALDA ( Professional fees for obtaining tax rate reduction authorization) 5674</t>
  </si>
  <si>
    <t>Payment of Gaming taxes april 2026</t>
  </si>
  <si>
    <t>10.5.2026</t>
  </si>
  <si>
    <t>Office Rent 5333</t>
  </si>
  <si>
    <t>Office maintenance 5334</t>
  </si>
  <si>
    <t>STP</t>
  </si>
  <si>
    <t>gateway fee monthly April 2026</t>
  </si>
  <si>
    <t>clabe: 646180525500000000</t>
  </si>
  <si>
    <t>1st Half of May 2026 Payroll</t>
  </si>
  <si>
    <t>18.5.2026</t>
  </si>
  <si>
    <t>24.5.2026</t>
  </si>
  <si>
    <t>20.5.2026</t>
  </si>
  <si>
    <t>Notary</t>
  </si>
  <si>
    <t>Notarial expenses for the notarization of Deed No. 3140</t>
  </si>
  <si>
    <t>Clabe: 012180001192833665</t>
  </si>
  <si>
    <t>30.5.2026</t>
  </si>
  <si>
    <t>clabe: 124180002321680136 Ref: 5569074280</t>
  </si>
  <si>
    <t>digital campaign Invoice 12537</t>
  </si>
  <si>
    <t>2nd Half of May 2026 Payroll</t>
  </si>
  <si>
    <t>notarization and formalization of the resolution for contributions. 1247</t>
  </si>
  <si>
    <t>clabe: 014180220009375969</t>
  </si>
  <si>
    <t>EGT</t>
  </si>
  <si>
    <t>IBAN: BG65BGUS91601411774200</t>
  </si>
  <si>
    <t>SWIFT: BGUSBGSF</t>
  </si>
  <si>
    <t>15.6.2026</t>
  </si>
  <si>
    <t>Month</t>
  </si>
  <si>
    <t>GGR</t>
  </si>
  <si>
    <t>Amount</t>
  </si>
  <si>
    <t>Taxes</t>
  </si>
  <si>
    <t>Office</t>
  </si>
  <si>
    <t>Marketing</t>
  </si>
  <si>
    <t>Legal</t>
  </si>
  <si>
    <t>Accounting</t>
  </si>
  <si>
    <t>Payee</t>
  </si>
  <si>
    <t>Category</t>
  </si>
  <si>
    <t>Short description (business view)</t>
  </si>
  <si>
    <t>Platform &amp; aggregation</t>
  </si>
  <si>
    <t>Payment provider</t>
  </si>
  <si>
    <t>Funding of Nuvei payment processing account (deposits/withdrawals processing).</t>
  </si>
  <si>
    <t>Monthly gateway fee to STP payment processor (April 2026).</t>
  </si>
  <si>
    <t>Tax / fiscal services</t>
  </si>
  <si>
    <t>ACE is a SAT‑authorized PSA provider handling Mexican tax compliance and filings (tax technology/intermediary).</t>
  </si>
  <si>
    <t>Legal / tax advisory</t>
  </si>
  <si>
    <t>Professional services to obtain reduced gaming tax rate authorizations and similar fiscal rulings.</t>
  </si>
  <si>
    <t>Accounting &amp; advisory</t>
  </si>
  <si>
    <t>Ongoing accounting, tax compliance, and reporting firm (monthly fees by period).</t>
  </si>
  <si>
    <t>Federal Taxes / Gaming Taxes</t>
  </si>
  <si>
    <t>Federal gaming tax payments to SAT for the relevant month (February, March, April).</t>
  </si>
  <si>
    <t>Income tax (ISR) payments to SAT.</t>
  </si>
  <si>
    <t>Payroll taxes</t>
  </si>
  <si>
    <t>State payroll tax (Impuesto Sobre Nóminas).</t>
  </si>
  <si>
    <t>Social security</t>
  </si>
  <si>
    <t>Employer IMSS social security contributions via SIPARE.</t>
  </si>
  <si>
    <t>Employee benefits</t>
  </si>
  <si>
    <t>Repayment to Mexican government worker credit institute (employee loans).</t>
  </si>
  <si>
    <t>Net payroll disbursements to employees (fortnightly).</t>
  </si>
  <si>
    <t>Google Ads campaigns for player acquisition and traffic.</t>
  </si>
  <si>
    <t>Digital marketing campaigns run by PUBSA agency (media buys).</t>
  </si>
  <si>
    <t>Retorno Digital marketing agency monthly service fee.</t>
  </si>
  <si>
    <t>Marketing &amp; infra reimbursements</t>
  </si>
  <si>
    <t>Reimbursements for Meta, Twilio, Google Cloud and similar spend paid via personal/corporate cards.</t>
  </si>
  <si>
    <t>Legal / IP</t>
  </si>
  <si>
    <t>Reimbursements for IMPI brand registration and IP‑related fees.</t>
  </si>
  <si>
    <t>Espacio Minerva / Rent / Maintenance</t>
  </si>
  <si>
    <t>Office &amp; facilities</t>
  </si>
  <si>
    <t>Office rent and building maintenance charges in Espacio Minerva.</t>
  </si>
  <si>
    <t>Office cleaning service – monthly fee.</t>
  </si>
  <si>
    <t>Telecom</t>
  </si>
  <si>
    <t>IT &amp; telecom</t>
  </si>
  <si>
    <t>SIP trunk / telephony and IT connectivity services.</t>
  </si>
  <si>
    <t>Abasteo / Mac Store</t>
  </si>
  <si>
    <t>IT &amp; office equipment</t>
  </si>
  <si>
    <t>Monitors, laptops, disks and similar IT hardware for the office.</t>
  </si>
  <si>
    <t>Office supplies</t>
  </si>
  <si>
    <t>Coffee and pantry supplies for the office.</t>
  </si>
  <si>
    <t>Office &amp; safety</t>
  </si>
  <si>
    <t>Office safety signage and fire extinguishers.</t>
  </si>
  <si>
    <t>Legal / notary</t>
  </si>
  <si>
    <t>Notarial costs for corporate deeds, capital contributions and legal formalizations.</t>
  </si>
  <si>
    <t>Game platform and aggregation fees.</t>
  </si>
  <si>
    <t>Game content</t>
  </si>
  <si>
    <t>Bank</t>
  </si>
  <si>
    <t>Provides the virtual cards used to pay Meta, Twilio etc.</t>
  </si>
  <si>
    <t>KLU</t>
  </si>
  <si>
    <t>Online Bank</t>
  </si>
  <si>
    <t>Allows for funding the operation and simplest way to pay payroll and other office related expences</t>
  </si>
  <si>
    <t>Monthly affiliate commission/service fee (used for tracking, not affiliates).</t>
  </si>
  <si>
    <t>VIP mobile phone lines for staff.</t>
  </si>
  <si>
    <t>Skywindgroup</t>
  </si>
  <si>
    <t>Game provider</t>
  </si>
  <si>
    <t>KPI</t>
  </si>
  <si>
    <t>Apr-26 Nuvei SPEI</t>
  </si>
  <si>
    <t>May-26 STP Direct</t>
  </si>
  <si>
    <t>Volume</t>
  </si>
  <si>
    <t>$5.47M</t>
  </si>
  <si>
    <t>$5.72M</t>
  </si>
  <si>
    <t>Transactions</t>
  </si>
  <si>
    <t>Effective Fee</t>
  </si>
  <si>
    <t>Cost per Transaction</t>
  </si>
  <si>
    <t>Gateway</t>
  </si>
  <si>
    <t>Processed Volume (MXN)</t>
  </si>
  <si>
    <t>Processing Cost (MXN)</t>
  </si>
  <si>
    <t>Cards</t>
  </si>
  <si>
    <t>Nuvei SPEI</t>
  </si>
  <si>
    <t>Pending</t>
  </si>
  <si>
    <t>STP Direct</t>
  </si>
  <si>
    <t>1st Half of Month</t>
  </si>
  <si>
    <t>2nd Half of Month</t>
  </si>
  <si>
    <t>MXN</t>
  </si>
  <si>
    <t>Meta+Twilio (same card)</t>
  </si>
  <si>
    <t>RM GGR</t>
  </si>
  <si>
    <t>% of GGR</t>
  </si>
  <si>
    <t>Overall % based expenses</t>
  </si>
  <si>
    <t>% based expenses</t>
  </si>
  <si>
    <t>Fixed expenses</t>
  </si>
  <si>
    <t>Overall Fixed expenses</t>
  </si>
  <si>
    <t>Platform+Aggregation</t>
  </si>
  <si>
    <t>Providers (direct deals)</t>
  </si>
  <si>
    <t>All Expenses</t>
  </si>
  <si>
    <t>% of RM GGR</t>
  </si>
  <si>
    <t>Payment processing</t>
  </si>
  <si>
    <t>EBITDA by month</t>
  </si>
  <si>
    <t>All Expenses (MXN)</t>
  </si>
  <si>
    <t>EBITDA (MXN)</t>
  </si>
  <si>
    <t>EBITDA % of GGR</t>
  </si>
  <si>
    <t>GGR (MXN)</t>
  </si>
  <si>
    <t>Bonus Achieve</t>
  </si>
  <si>
    <t>END OF MONTH MXN to EUR</t>
  </si>
  <si>
    <t xml:space="preserve">Breakeven GGR </t>
  </si>
  <si>
    <t>GGR needed to hit EBITDA ≈ 0</t>
  </si>
  <si>
    <t>We will need the following GGR for EBITDA 0</t>
  </si>
  <si>
    <t>Simulate numbers</t>
  </si>
  <si>
    <t>Additional spend on marketing</t>
  </si>
  <si>
    <t>Assuming April as representative of expence %</t>
  </si>
  <si>
    <t>Fixed Expenses</t>
  </si>
  <si>
    <t>% Based Expenses</t>
  </si>
  <si>
    <t>GGR for 0</t>
  </si>
  <si>
    <t>Margin</t>
  </si>
  <si>
    <t>Bets needed</t>
  </si>
  <si>
    <t>CRM</t>
  </si>
  <si>
    <t>GGR (EUR)</t>
  </si>
  <si>
    <t>All Expenses (EUR)</t>
  </si>
  <si>
    <t>EBITDA (EUR)</t>
  </si>
  <si>
    <t>Bonus achieve</t>
  </si>
  <si>
    <t>Skywind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</si>
</sst>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#,##0.00\ [$€-1]"/>
    <numFmt numFmtId="167" formatCode="[$€-2]\ #,##0.00"/>
    <numFmt numFmtId="168" formatCode="[$€-2]\ #,##0.00;[Red]\-[$€-2]\ #,##0.00"/>
    <numFmt numFmtId="169" formatCode="0.0000%"/>
  </numFmts>
  <fonts count="1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242424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8" fontId="2" fillId="2" borderId="1" xfId="0" applyNumberFormat="1" applyFont="1" applyFill="1" applyBorder="1"/>
    <xf numFmtId="0" fontId="3" fillId="2" borderId="1" xfId="0" applyFont="1" applyFill="1" applyBorder="1"/>
    <xf numFmtId="8" fontId="1" fillId="2" borderId="1" xfId="0" applyNumberFormat="1" applyFont="1" applyFill="1" applyBorder="1"/>
    <xf numFmtId="0" fontId="5" fillId="0" borderId="1" xfId="0" applyFont="1" applyBorder="1"/>
    <xf numFmtId="8" fontId="1" fillId="3" borderId="1" xfId="0" applyNumberFormat="1" applyFont="1" applyFill="1" applyBorder="1"/>
    <xf numFmtId="0" fontId="1" fillId="2" borderId="0" xfId="0" applyFont="1" applyFill="1"/>
    <xf numFmtId="0" fontId="8" fillId="4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0" fillId="0" borderId="2" xfId="0" applyBorder="1"/>
    <xf numFmtId="3" fontId="9" fillId="0" borderId="7" xfId="0" applyNumberFormat="1" applyFont="1" applyBorder="1" applyAlignment="1">
      <alignment horizontal="left" vertical="center" wrapText="1"/>
    </xf>
    <xf numFmtId="10" fontId="9" fillId="0" borderId="7" xfId="0" applyNumberFormat="1" applyFont="1" applyBorder="1" applyAlignment="1">
      <alignment horizontal="left" vertical="center" wrapText="1"/>
    </xf>
    <xf numFmtId="8" fontId="9" fillId="0" borderId="7" xfId="0" applyNumberFormat="1" applyFont="1" applyBorder="1" applyAlignment="1">
      <alignment horizontal="left" vertical="center" wrapText="1"/>
    </xf>
    <xf numFmtId="16" fontId="9" fillId="0" borderId="7" xfId="0" applyNumberFormat="1" applyFont="1" applyBorder="1" applyAlignment="1">
      <alignment horizontal="left" vertical="center" wrapText="1"/>
    </xf>
    <xf numFmtId="6" fontId="9" fillId="0" borderId="7" xfId="0" applyNumberFormat="1" applyFont="1" applyBorder="1" applyAlignment="1">
      <alignment horizontal="left" vertical="center" wrapText="1"/>
    </xf>
    <xf numFmtId="0" fontId="1" fillId="5" borderId="1" xfId="0" applyFont="1" applyFill="1" applyBorder="1"/>
    <xf numFmtId="0" fontId="3" fillId="5" borderId="1" xfId="0" applyFont="1" applyFill="1" applyBorder="1"/>
    <xf numFmtId="8" fontId="2" fillId="5" borderId="1" xfId="0" applyNumberFormat="1" applyFont="1" applyFill="1" applyBorder="1"/>
    <xf numFmtId="0" fontId="0" fillId="6" borderId="0" xfId="0" applyFill="1"/>
    <xf numFmtId="0" fontId="4" fillId="5" borderId="1" xfId="0" applyFont="1" applyFill="1" applyBorder="1"/>
    <xf numFmtId="8" fontId="1" fillId="5" borderId="1" xfId="0" applyNumberFormat="1" applyFont="1" applyFill="1" applyBorder="1"/>
    <xf numFmtId="0" fontId="10" fillId="5" borderId="1" xfId="0" applyFont="1" applyFill="1" applyBorder="1"/>
    <xf numFmtId="16" fontId="9" fillId="6" borderId="7" xfId="0" applyNumberFormat="1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left" vertical="center" wrapText="1"/>
    </xf>
    <xf numFmtId="6" fontId="9" fillId="6" borderId="7" xfId="0" applyNumberFormat="1" applyFont="1" applyFill="1" applyBorder="1" applyAlignment="1">
      <alignment horizontal="left" vertical="center" wrapText="1"/>
    </xf>
    <xf numFmtId="3" fontId="9" fillId="6" borderId="7" xfId="0" applyNumberFormat="1" applyFont="1" applyFill="1" applyBorder="1" applyAlignment="1">
      <alignment horizontal="left" vertical="center" wrapText="1"/>
    </xf>
    <xf numFmtId="10" fontId="9" fillId="6" borderId="7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0" fillId="0" borderId="11" xfId="0" applyBorder="1"/>
    <xf numFmtId="0" fontId="0" fillId="0" borderId="3" xfId="0" applyBorder="1"/>
    <xf numFmtId="8" fontId="0" fillId="0" borderId="3" xfId="0" applyNumberFormat="1" applyBorder="1"/>
    <xf numFmtId="0" fontId="7" fillId="0" borderId="3" xfId="0" applyFont="1" applyBorder="1"/>
    <xf numFmtId="0" fontId="0" fillId="0" borderId="15" xfId="0" applyBorder="1"/>
    <xf numFmtId="0" fontId="0" fillId="0" borderId="16" xfId="0" applyBorder="1"/>
    <xf numFmtId="8" fontId="7" fillId="0" borderId="15" xfId="0" applyNumberFormat="1" applyFont="1" applyBorder="1"/>
    <xf numFmtId="8" fontId="0" fillId="0" borderId="15" xfId="0" applyNumberFormat="1" applyBorder="1"/>
    <xf numFmtId="6" fontId="0" fillId="0" borderId="15" xfId="0" applyNumberFormat="1" applyBorder="1"/>
    <xf numFmtId="0" fontId="0" fillId="0" borderId="20" xfId="0" applyBorder="1"/>
    <xf numFmtId="0" fontId="0" fillId="0" borderId="21" xfId="0" applyBorder="1"/>
    <xf numFmtId="8" fontId="0" fillId="0" borderId="22" xfId="0" applyNumberFormat="1" applyBorder="1"/>
    <xf numFmtId="8" fontId="7" fillId="0" borderId="26" xfId="0" applyNumberFormat="1" applyFont="1" applyBorder="1"/>
    <xf numFmtId="0" fontId="0" fillId="0" borderId="25" xfId="0" applyBorder="1"/>
    <xf numFmtId="0" fontId="0" fillId="0" borderId="22" xfId="0" applyBorder="1"/>
    <xf numFmtId="0" fontId="7" fillId="0" borderId="26" xfId="0" applyFont="1" applyBorder="1"/>
    <xf numFmtId="6" fontId="0" fillId="0" borderId="22" xfId="0" applyNumberFormat="1" applyBorder="1"/>
    <xf numFmtId="6" fontId="7" fillId="0" borderId="26" xfId="0" applyNumberFormat="1" applyFont="1" applyBorder="1"/>
    <xf numFmtId="0" fontId="0" fillId="0" borderId="9" xfId="0" applyBorder="1"/>
    <xf numFmtId="8" fontId="0" fillId="0" borderId="26" xfId="0" applyNumberFormat="1" applyBorder="1"/>
    <xf numFmtId="10" fontId="6" fillId="0" borderId="27" xfId="1" applyNumberFormat="1" applyFont="1" applyBorder="1"/>
    <xf numFmtId="10" fontId="7" fillId="0" borderId="27" xfId="1" applyNumberFormat="1" applyFont="1" applyBorder="1"/>
    <xf numFmtId="10" fontId="0" fillId="0" borderId="23" xfId="1" applyNumberFormat="1" applyFont="1" applyBorder="1"/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10" fontId="7" fillId="0" borderId="28" xfId="1" applyNumberFormat="1" applyFont="1" applyBorder="1"/>
    <xf numFmtId="10" fontId="0" fillId="0" borderId="24" xfId="1" applyNumberFormat="1" applyFont="1" applyBorder="1"/>
    <xf numFmtId="0" fontId="1" fillId="5" borderId="2" xfId="0" applyFont="1" applyFill="1" applyBorder="1"/>
    <xf numFmtId="0" fontId="1" fillId="5" borderId="3" xfId="0" applyFont="1" applyFill="1" applyBorder="1"/>
    <xf numFmtId="8" fontId="2" fillId="5" borderId="2" xfId="0" applyNumberFormat="1" applyFont="1" applyFill="1" applyBorder="1"/>
    <xf numFmtId="0" fontId="1" fillId="6" borderId="5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2" fillId="5" borderId="3" xfId="0" applyFont="1" applyFill="1" applyBorder="1"/>
    <xf numFmtId="8" fontId="2" fillId="5" borderId="3" xfId="0" applyNumberFormat="1" applyFont="1" applyFill="1" applyBorder="1"/>
    <xf numFmtId="0" fontId="1" fillId="5" borderId="0" xfId="0" applyFont="1" applyFill="1"/>
    <xf numFmtId="8" fontId="0" fillId="0" borderId="20" xfId="0" applyNumberFormat="1" applyBorder="1"/>
    <xf numFmtId="0" fontId="1" fillId="5" borderId="4" xfId="0" applyFont="1" applyFill="1" applyBorder="1"/>
    <xf numFmtId="10" fontId="0" fillId="0" borderId="2" xfId="1" applyNumberFormat="1" applyFont="1" applyBorder="1"/>
    <xf numFmtId="10" fontId="0" fillId="0" borderId="21" xfId="1" applyNumberFormat="1" applyFont="1" applyBorder="1"/>
    <xf numFmtId="10" fontId="0" fillId="0" borderId="3" xfId="1" applyNumberFormat="1" applyFont="1" applyBorder="1"/>
    <xf numFmtId="10" fontId="0" fillId="0" borderId="16" xfId="1" applyNumberFormat="1" applyFont="1" applyBorder="1"/>
    <xf numFmtId="8" fontId="2" fillId="5" borderId="0" xfId="0" applyNumberFormat="1" applyFont="1" applyFill="1"/>
    <xf numFmtId="0" fontId="0" fillId="7" borderId="0" xfId="0" applyFill="1"/>
    <xf numFmtId="0" fontId="0" fillId="7" borderId="20" xfId="0" applyFill="1" applyBorder="1"/>
    <xf numFmtId="0" fontId="0" fillId="7" borderId="2" xfId="0" applyFill="1" applyBorder="1"/>
    <xf numFmtId="0" fontId="0" fillId="7" borderId="21" xfId="0" applyFill="1" applyBorder="1"/>
    <xf numFmtId="10" fontId="0" fillId="7" borderId="2" xfId="1" applyNumberFormat="1" applyFont="1" applyFill="1" applyBorder="1"/>
    <xf numFmtId="10" fontId="0" fillId="7" borderId="21" xfId="1" applyNumberFormat="1" applyFont="1" applyFill="1" applyBorder="1"/>
    <xf numFmtId="6" fontId="0" fillId="0" borderId="26" xfId="0" applyNumberFormat="1" applyBorder="1"/>
    <xf numFmtId="10" fontId="6" fillId="0" borderId="28" xfId="1" applyNumberFormat="1" applyFont="1" applyBorder="1"/>
    <xf numFmtId="0" fontId="0" fillId="0" borderId="26" xfId="0" applyBorder="1"/>
    <xf numFmtId="0" fontId="7" fillId="8" borderId="34" xfId="0" applyFont="1" applyFill="1" applyBorder="1" applyAlignment="1">
      <alignment horizontal="center"/>
    </xf>
    <xf numFmtId="0" fontId="7" fillId="8" borderId="35" xfId="0" applyFont="1" applyFill="1" applyBorder="1" applyAlignment="1">
      <alignment horizontal="center"/>
    </xf>
    <xf numFmtId="8" fontId="0" fillId="8" borderId="26" xfId="0" applyNumberFormat="1" applyFill="1" applyBorder="1"/>
    <xf numFmtId="10" fontId="6" fillId="8" borderId="27" xfId="1" applyNumberFormat="1" applyFont="1" applyFill="1" applyBorder="1"/>
    <xf numFmtId="6" fontId="0" fillId="8" borderId="26" xfId="0" applyNumberFormat="1" applyFill="1" applyBorder="1"/>
    <xf numFmtId="8" fontId="7" fillId="8" borderId="15" xfId="0" applyNumberFormat="1" applyFont="1" applyFill="1" applyBorder="1"/>
    <xf numFmtId="10" fontId="7" fillId="8" borderId="27" xfId="1" applyNumberFormat="1" applyFont="1" applyFill="1" applyBorder="1"/>
    <xf numFmtId="6" fontId="7" fillId="8" borderId="26" xfId="0" applyNumberFormat="1" applyFont="1" applyFill="1" applyBorder="1"/>
    <xf numFmtId="164" fontId="0" fillId="0" borderId="3" xfId="0" applyNumberFormat="1" applyBorder="1"/>
    <xf numFmtId="17" fontId="7" fillId="0" borderId="3" xfId="0" applyNumberFormat="1" applyFont="1" applyBorder="1"/>
    <xf numFmtId="6" fontId="0" fillId="6" borderId="26" xfId="0" applyNumberFormat="1" applyFill="1" applyBorder="1"/>
    <xf numFmtId="10" fontId="6" fillId="6" borderId="27" xfId="1" applyNumberFormat="1" applyFont="1" applyFill="1" applyBorder="1"/>
    <xf numFmtId="165" fontId="0" fillId="0" borderId="0" xfId="2" applyNumberFormat="1" applyFont="1"/>
    <xf numFmtId="10" fontId="6" fillId="9" borderId="27" xfId="1" applyNumberFormat="1" applyFont="1" applyFill="1" applyBorder="1"/>
    <xf numFmtId="10" fontId="6" fillId="6" borderId="28" xfId="1" applyNumberFormat="1" applyFont="1" applyFill="1" applyBorder="1"/>
    <xf numFmtId="6" fontId="0" fillId="9" borderId="26" xfId="0" applyNumberFormat="1" applyFill="1" applyBorder="1"/>
    <xf numFmtId="10" fontId="6" fillId="9" borderId="28" xfId="1" applyNumberFormat="1" applyFont="1" applyFill="1" applyBorder="1"/>
    <xf numFmtId="166" fontId="0" fillId="0" borderId="3" xfId="0" applyNumberFormat="1" applyBorder="1"/>
    <xf numFmtId="167" fontId="0" fillId="9" borderId="26" xfId="0" applyNumberFormat="1" applyFill="1" applyBorder="1"/>
    <xf numFmtId="167" fontId="0" fillId="0" borderId="26" xfId="0" applyNumberFormat="1" applyBorder="1"/>
    <xf numFmtId="167" fontId="0" fillId="6" borderId="26" xfId="0" applyNumberFormat="1" applyFill="1" applyBorder="1"/>
    <xf numFmtId="167" fontId="7" fillId="0" borderId="15" xfId="0" applyNumberFormat="1" applyFont="1" applyBorder="1"/>
    <xf numFmtId="167" fontId="7" fillId="0" borderId="26" xfId="0" applyNumberFormat="1" applyFont="1" applyBorder="1"/>
    <xf numFmtId="167" fontId="0" fillId="9" borderId="26" xfId="3" applyNumberFormat="1" applyFont="1" applyFill="1" applyBorder="1"/>
    <xf numFmtId="167" fontId="0" fillId="8" borderId="26" xfId="3" applyNumberFormat="1" applyFont="1" applyFill="1" applyBorder="1"/>
    <xf numFmtId="167" fontId="0" fillId="6" borderId="26" xfId="3" applyNumberFormat="1" applyFont="1" applyFill="1" applyBorder="1"/>
    <xf numFmtId="167" fontId="7" fillId="8" borderId="15" xfId="3" applyNumberFormat="1" applyFont="1" applyFill="1" applyBorder="1"/>
    <xf numFmtId="167" fontId="7" fillId="8" borderId="26" xfId="3" applyNumberFormat="1" applyFont="1" applyFill="1" applyBorder="1"/>
    <xf numFmtId="167" fontId="0" fillId="0" borderId="3" xfId="0" applyNumberFormat="1" applyBorder="1"/>
    <xf numFmtId="167" fontId="7" fillId="9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0" fillId="0" borderId="3" xfId="0" applyBorder="1" applyAlignment="1">
      <alignment wrapText="1"/>
    </xf>
    <xf numFmtId="0" fontId="0" fillId="6" borderId="3" xfId="0" applyFill="1" applyBorder="1"/>
    <xf numFmtId="0" fontId="7" fillId="0" borderId="12" xfId="0" applyFont="1" applyBorder="1"/>
    <xf numFmtId="17" fontId="7" fillId="0" borderId="13" xfId="0" applyNumberFormat="1" applyFont="1" applyBorder="1"/>
    <xf numFmtId="17" fontId="7" fillId="0" borderId="14" xfId="0" applyNumberFormat="1" applyFont="1" applyBorder="1"/>
    <xf numFmtId="0" fontId="7" fillId="0" borderId="15" xfId="0" applyFont="1" applyBorder="1"/>
    <xf numFmtId="166" fontId="0" fillId="0" borderId="16" xfId="0" applyNumberFormat="1" applyBorder="1"/>
    <xf numFmtId="167" fontId="0" fillId="0" borderId="16" xfId="0" applyNumberFormat="1" applyBorder="1"/>
    <xf numFmtId="0" fontId="7" fillId="0" borderId="17" xfId="0" applyFont="1" applyBorder="1"/>
    <xf numFmtId="167" fontId="0" fillId="0" borderId="18" xfId="0" applyNumberFormat="1" applyBorder="1"/>
    <xf numFmtId="167" fontId="0" fillId="0" borderId="19" xfId="0" applyNumberFormat="1" applyBorder="1"/>
    <xf numFmtId="165" fontId="0" fillId="0" borderId="3" xfId="2" applyNumberFormat="1" applyFont="1" applyBorder="1"/>
    <xf numFmtId="9" fontId="0" fillId="0" borderId="3" xfId="1" applyFont="1" applyBorder="1"/>
    <xf numFmtId="165" fontId="0" fillId="6" borderId="43" xfId="2" applyNumberFormat="1" applyFont="1" applyFill="1" applyBorder="1"/>
    <xf numFmtId="0" fontId="7" fillId="9" borderId="48" xfId="0" applyFont="1" applyFill="1" applyBorder="1" applyAlignment="1">
      <alignment horizontal="center" vertical="center"/>
    </xf>
    <xf numFmtId="9" fontId="0" fillId="0" borderId="0" xfId="0" applyNumberFormat="1"/>
    <xf numFmtId="9" fontId="0" fillId="0" borderId="3" xfId="0" applyNumberFormat="1" applyBorder="1"/>
    <xf numFmtId="168" fontId="0" fillId="0" borderId="15" xfId="0" applyNumberFormat="1" applyBorder="1"/>
    <xf numFmtId="169" fontId="7" fillId="0" borderId="27" xfId="1" applyNumberFormat="1" applyFont="1" applyBorder="1"/>
    <xf numFmtId="0" fontId="7" fillId="0" borderId="8" xfId="0" applyFont="1" applyBorder="1" applyAlignment="1">
      <alignment horizontal="center" vertical="center" textRotation="90" wrapText="1"/>
    </xf>
    <xf numFmtId="0" fontId="7" fillId="0" borderId="57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54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17" fontId="7" fillId="0" borderId="54" xfId="0" applyNumberFormat="1" applyFont="1" applyBorder="1" applyAlignment="1">
      <alignment horizontal="center"/>
    </xf>
    <xf numFmtId="17" fontId="7" fillId="0" borderId="56" xfId="0" applyNumberFormat="1" applyFont="1" applyBorder="1" applyAlignment="1">
      <alignment horizontal="center"/>
    </xf>
    <xf numFmtId="17" fontId="7" fillId="8" borderId="54" xfId="0" applyNumberFormat="1" applyFont="1" applyFill="1" applyBorder="1" applyAlignment="1">
      <alignment horizontal="center"/>
    </xf>
    <xf numFmtId="17" fontId="7" fillId="8" borderId="56" xfId="0" applyNumberFormat="1" applyFont="1" applyFill="1" applyBorder="1" applyAlignment="1">
      <alignment horizontal="center"/>
    </xf>
    <xf numFmtId="17" fontId="7" fillId="0" borderId="55" xfId="0" applyNumberFormat="1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167" fontId="7" fillId="0" borderId="51" xfId="0" applyNumberFormat="1" applyFont="1" applyBorder="1" applyAlignment="1">
      <alignment horizontal="center"/>
    </xf>
    <xf numFmtId="167" fontId="7" fillId="0" borderId="53" xfId="0" applyNumberFormat="1" applyFont="1" applyBorder="1" applyAlignment="1">
      <alignment horizontal="center"/>
    </xf>
    <xf numFmtId="167" fontId="7" fillId="8" borderId="51" xfId="0" applyNumberFormat="1" applyFont="1" applyFill="1" applyBorder="1" applyAlignment="1">
      <alignment horizontal="center"/>
    </xf>
    <xf numFmtId="167" fontId="7" fillId="8" borderId="53" xfId="0" applyNumberFormat="1" applyFont="1" applyFill="1" applyBorder="1" applyAlignment="1">
      <alignment horizontal="center"/>
    </xf>
    <xf numFmtId="167" fontId="7" fillId="0" borderId="52" xfId="0" applyNumberFormat="1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7" fillId="9" borderId="33" xfId="0" applyFont="1" applyFill="1" applyBorder="1" applyAlignment="1">
      <alignment horizontal="center"/>
    </xf>
    <xf numFmtId="0" fontId="7" fillId="9" borderId="43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3" xfId="0" applyBorder="1" applyAlignment="1">
      <alignment horizontal="center"/>
    </xf>
    <xf numFmtId="167" fontId="7" fillId="0" borderId="46" xfId="0" applyNumberFormat="1" applyFont="1" applyBorder="1" applyAlignment="1">
      <alignment horizontal="center"/>
    </xf>
    <xf numFmtId="167" fontId="7" fillId="0" borderId="47" xfId="0" applyNumberFormat="1" applyFont="1" applyBorder="1" applyAlignment="1">
      <alignment horizontal="center"/>
    </xf>
    <xf numFmtId="10" fontId="7" fillId="0" borderId="30" xfId="1" applyNumberFormat="1" applyFont="1" applyBorder="1" applyAlignment="1">
      <alignment horizontal="center"/>
    </xf>
    <xf numFmtId="10" fontId="7" fillId="0" borderId="32" xfId="1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10" fontId="7" fillId="0" borderId="31" xfId="1" applyNumberFormat="1" applyFont="1" applyBorder="1" applyAlignment="1">
      <alignment horizontal="center"/>
    </xf>
    <xf numFmtId="10" fontId="7" fillId="0" borderId="29" xfId="1" applyNumberFormat="1" applyFont="1" applyBorder="1" applyAlignment="1">
      <alignment horizontal="center"/>
    </xf>
    <xf numFmtId="167" fontId="7" fillId="8" borderId="46" xfId="3" applyNumberFormat="1" applyFont="1" applyFill="1" applyBorder="1" applyAlignment="1">
      <alignment horizontal="center"/>
    </xf>
    <xf numFmtId="167" fontId="7" fillId="8" borderId="47" xfId="3" applyNumberFormat="1" applyFont="1" applyFill="1" applyBorder="1" applyAlignment="1">
      <alignment horizontal="center"/>
    </xf>
    <xf numFmtId="10" fontId="7" fillId="8" borderId="31" xfId="1" applyNumberFormat="1" applyFont="1" applyFill="1" applyBorder="1" applyAlignment="1">
      <alignment horizontal="center"/>
    </xf>
    <xf numFmtId="10" fontId="7" fillId="8" borderId="29" xfId="1" applyNumberFormat="1" applyFont="1" applyFill="1" applyBorder="1" applyAlignment="1">
      <alignment horizontal="center"/>
    </xf>
    <xf numFmtId="0" fontId="7" fillId="0" borderId="40" xfId="0" applyFont="1" applyBorder="1" applyAlignment="1">
      <alignment horizontal="center" vertical="center" textRotation="90" wrapText="1"/>
    </xf>
    <xf numFmtId="0" fontId="7" fillId="0" borderId="41" xfId="0" applyFont="1" applyBorder="1" applyAlignment="1">
      <alignment horizontal="center" vertical="center" textRotation="90" wrapText="1"/>
    </xf>
    <xf numFmtId="0" fontId="7" fillId="0" borderId="42" xfId="0" applyFont="1" applyBorder="1" applyAlignment="1">
      <alignment horizontal="center" vertical="center" textRotation="90" wrapText="1"/>
    </xf>
    <xf numFmtId="10" fontId="7" fillId="8" borderId="30" xfId="1" applyNumberFormat="1" applyFont="1" applyFill="1" applyBorder="1" applyAlignment="1">
      <alignment horizontal="center"/>
    </xf>
    <xf numFmtId="10" fontId="7" fillId="8" borderId="32" xfId="1" applyNumberFormat="1" applyFont="1" applyFill="1" applyBorder="1" applyAlignment="1">
      <alignment horizontal="center"/>
    </xf>
    <xf numFmtId="8" fontId="7" fillId="0" borderId="12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8" fontId="7" fillId="8" borderId="12" xfId="0" applyNumberFormat="1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17" fontId="7" fillId="8" borderId="12" xfId="0" applyNumberFormat="1" applyFont="1" applyFill="1" applyBorder="1" applyAlignment="1">
      <alignment horizontal="center"/>
    </xf>
    <xf numFmtId="17" fontId="7" fillId="8" borderId="13" xfId="0" applyNumberFormat="1" applyFont="1" applyFill="1" applyBorder="1" applyAlignment="1">
      <alignment horizontal="center"/>
    </xf>
    <xf numFmtId="17" fontId="7" fillId="0" borderId="12" xfId="0" applyNumberFormat="1" applyFont="1" applyBorder="1" applyAlignment="1">
      <alignment horizontal="center"/>
    </xf>
    <xf numFmtId="17" fontId="7" fillId="0" borderId="13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3" fontId="7" fillId="8" borderId="15" xfId="0" applyNumberFormat="1" applyFont="1" applyFill="1" applyBorder="1" applyAlignment="1">
      <alignment horizontal="center"/>
    </xf>
    <xf numFmtId="3" fontId="7" fillId="8" borderId="3" xfId="0" applyNumberFormat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9" borderId="25" xfId="0" applyFont="1" applyFill="1" applyBorder="1" applyAlignment="1">
      <alignment horizontal="center"/>
    </xf>
    <xf numFmtId="17" fontId="7" fillId="0" borderId="14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7" fillId="0" borderId="17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center"/>
    </xf>
    <xf numFmtId="3" fontId="7" fillId="0" borderId="19" xfId="0" applyNumberFormat="1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0" fillId="0" borderId="40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0" fillId="0" borderId="42" xfId="0" applyBorder="1" applyAlignment="1">
      <alignment horizontal="center" vertical="center" textRotation="90"/>
    </xf>
    <xf numFmtId="0" fontId="7" fillId="0" borderId="40" xfId="0" applyFont="1" applyBorder="1" applyAlignment="1">
      <alignment horizontal="center" vertical="center" textRotation="90"/>
    </xf>
    <xf numFmtId="0" fontId="7" fillId="0" borderId="41" xfId="0" applyFont="1" applyBorder="1" applyAlignment="1">
      <alignment horizontal="center" vertical="center" textRotation="90"/>
    </xf>
    <xf numFmtId="0" fontId="3" fillId="6" borderId="5" xfId="0" applyFont="1" applyFill="1" applyBorder="1"/>
    <xf numFmtId="0" fontId="3" fillId="6" borderId="6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8" fontId="1" fillId="6" borderId="5" xfId="0" applyNumberFormat="1" applyFont="1" applyFill="1" applyBorder="1"/>
    <xf numFmtId="8" fontId="1" fillId="6" borderId="6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stadin Radkov" id="{F9CE94A7-B371-4A90-9897-F44A6BEB20F8}" userId="S::kostadin.radkov@inbet.com::80c62713-58e5-4663-b80f-3798078695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5" dT="2026-06-04T13:48:40.09" personId="{F9CE94A7-B371-4A90-9897-F44A6BEB20F8}" id="{EE828246-58D6-4443-9F31-E49E5C274F33}">
    <text>Not available yet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4254-4A2C-4AB1-9728-F9A000875875}">
  <dimension ref="B3:F13"/>
  <sheetViews>
    <sheetView tabSelected="1" workbookViewId="0">
      <selection activeCell="I10" sqref="I10"/>
    </sheetView>
  </sheetViews>
  <sheetFormatPr defaultRowHeight="14.4" x14ac:dyDescent="0.3"/>
  <cols>
    <col min="2" max="2" width="15.88671875" bestFit="1" customWidth="1"/>
    <col min="3" max="3" width="12.21875" style="96" bestFit="1" customWidth="1"/>
    <col min="5" max="5" width="12.5546875" bestFit="1" customWidth="1"/>
  </cols>
  <sheetData>
    <row r="3" spans="2:6" x14ac:dyDescent="0.3">
      <c r="B3" s="33" t="s">
        <v>256</v>
      </c>
      <c r="C3" s="126">
        <v>100000</v>
      </c>
    </row>
    <row r="4" spans="2:6" x14ac:dyDescent="0.3">
      <c r="B4" s="33" t="s">
        <v>257</v>
      </c>
      <c r="C4" s="127">
        <v>0.25</v>
      </c>
      <c r="E4" s="33" t="s">
        <v>265</v>
      </c>
      <c r="F4" s="131">
        <v>0.3</v>
      </c>
    </row>
    <row r="5" spans="2:6" x14ac:dyDescent="0.3">
      <c r="B5" s="33" t="s">
        <v>152</v>
      </c>
      <c r="C5" s="126">
        <v>200000</v>
      </c>
    </row>
    <row r="8" spans="2:6" ht="15" thickBot="1" x14ac:dyDescent="0.35"/>
    <row r="9" spans="2:6" ht="15" thickBot="1" x14ac:dyDescent="0.35">
      <c r="B9" s="33" t="s">
        <v>258</v>
      </c>
      <c r="C9" s="128">
        <f>(C3+C5)/(1-(C4+F4))</f>
        <v>666666.66666666674</v>
      </c>
    </row>
    <row r="11" spans="2:6" x14ac:dyDescent="0.3">
      <c r="B11" s="33" t="s">
        <v>259</v>
      </c>
      <c r="C11" s="72">
        <v>0.03</v>
      </c>
    </row>
    <row r="12" spans="2:6" ht="15" thickBot="1" x14ac:dyDescent="0.35"/>
    <row r="13" spans="2:6" ht="15" thickBot="1" x14ac:dyDescent="0.35">
      <c r="B13" s="33" t="s">
        <v>260</v>
      </c>
      <c r="C13" s="128">
        <f>C9/C11</f>
        <v>22222222.222222224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5CB4-A976-462F-8B2B-A10BB1A7589C}">
  <dimension ref="B1:L26"/>
  <sheetViews>
    <sheetView topLeftCell="A8" workbookViewId="0">
      <selection activeCell="I5" sqref="I5"/>
    </sheetView>
  </sheetViews>
  <sheetFormatPr defaultRowHeight="14.4" x14ac:dyDescent="0.3"/>
  <cols>
    <col min="2" max="2" width="22.21875" bestFit="1" customWidth="1"/>
    <col min="3" max="3" width="25.109375" bestFit="1" customWidth="1"/>
    <col min="4" max="4" width="23" customWidth="1"/>
    <col min="5" max="5" width="16.6640625" customWidth="1"/>
    <col min="6" max="6" width="18.44140625" customWidth="1"/>
    <col min="7" max="7" width="14.109375" customWidth="1"/>
    <col min="8" max="8" width="17.88671875" customWidth="1"/>
    <col min="9" max="9" width="19.5546875" customWidth="1"/>
    <col min="10" max="10" width="14.109375" customWidth="1"/>
  </cols>
  <sheetData>
    <row r="1" spans="2:12" ht="15" thickBot="1" x14ac:dyDescent="0.35">
      <c r="B1" s="31" t="s">
        <v>243</v>
      </c>
      <c r="I1" s="31" t="s">
        <v>255</v>
      </c>
    </row>
    <row r="2" spans="2:12" x14ac:dyDescent="0.3">
      <c r="C2" s="117" t="s">
        <v>147</v>
      </c>
      <c r="D2" s="118">
        <f>E10</f>
        <v>46082</v>
      </c>
      <c r="E2" s="118">
        <f>G10</f>
        <v>46113</v>
      </c>
      <c r="F2" s="119">
        <f>I10</f>
        <v>46143</v>
      </c>
      <c r="I2" s="31"/>
    </row>
    <row r="3" spans="2:12" x14ac:dyDescent="0.3">
      <c r="C3" s="120" t="s">
        <v>262</v>
      </c>
      <c r="D3" s="101">
        <f>E11</f>
        <v>262967.70780000003</v>
      </c>
      <c r="E3" s="101">
        <f>G11</f>
        <v>243296.01120000001</v>
      </c>
      <c r="F3" s="121">
        <f>I11</f>
        <v>146510.42120000001</v>
      </c>
      <c r="I3" s="31" t="s">
        <v>252</v>
      </c>
    </row>
    <row r="4" spans="2:12" x14ac:dyDescent="0.3">
      <c r="C4" s="120" t="s">
        <v>263</v>
      </c>
      <c r="D4" s="101">
        <f>E25</f>
        <v>307819.84659300005</v>
      </c>
      <c r="E4" s="101">
        <f>G25</f>
        <v>309354.50500800001</v>
      </c>
      <c r="F4" s="121">
        <f>I25</f>
        <v>256584.65073800003</v>
      </c>
      <c r="I4" s="113">
        <f>(G24+I7)/(1-(H18+J7))</f>
        <v>671006.99630081758</v>
      </c>
    </row>
    <row r="5" spans="2:12" x14ac:dyDescent="0.3">
      <c r="C5" s="120" t="s">
        <v>264</v>
      </c>
      <c r="D5" s="101">
        <f>D3-D4</f>
        <v>-44852.13879300002</v>
      </c>
      <c r="E5" s="101">
        <f>E3-E4</f>
        <v>-66058.493807999999</v>
      </c>
      <c r="F5" s="121">
        <f>F3-F4</f>
        <v>-110074.22953800001</v>
      </c>
      <c r="I5" s="114"/>
    </row>
    <row r="6" spans="2:12" x14ac:dyDescent="0.3">
      <c r="C6" s="120" t="s">
        <v>246</v>
      </c>
      <c r="D6" s="72">
        <f>D5/D3</f>
        <v>-0.17056139389978747</v>
      </c>
      <c r="E6" s="72">
        <f>E5/E3</f>
        <v>-0.27151490680912566</v>
      </c>
      <c r="F6" s="73">
        <f>F5/F3</f>
        <v>-0.75130648479768347</v>
      </c>
      <c r="H6" s="35" t="s">
        <v>253</v>
      </c>
    </row>
    <row r="7" spans="2:12" ht="28.8" x14ac:dyDescent="0.3">
      <c r="C7" s="120" t="s">
        <v>250</v>
      </c>
      <c r="D7" s="112">
        <f>(E24)/(1-(F18+F13))</f>
        <v>353520.51900819223</v>
      </c>
      <c r="E7" s="112">
        <f>(G24)/(1-(H18+H13))</f>
        <v>365478.34905167605</v>
      </c>
      <c r="F7" s="122">
        <f>(I24)/(1-(J18+J13))</f>
        <v>386220.04412307992</v>
      </c>
      <c r="H7" s="115" t="s">
        <v>254</v>
      </c>
      <c r="I7" s="116">
        <v>100000</v>
      </c>
      <c r="J7" s="130">
        <v>0.3</v>
      </c>
    </row>
    <row r="8" spans="2:12" ht="15" thickBot="1" x14ac:dyDescent="0.35">
      <c r="C8" s="123" t="s">
        <v>251</v>
      </c>
      <c r="D8" s="124">
        <f>D7-D3</f>
        <v>90552.811208192201</v>
      </c>
      <c r="E8" s="124">
        <f>E7-E3</f>
        <v>122182.33785167604</v>
      </c>
      <c r="F8" s="125">
        <f>F7-F3</f>
        <v>239709.62292307991</v>
      </c>
      <c r="H8" s="115"/>
      <c r="I8" s="116"/>
    </row>
    <row r="9" spans="2:12" ht="21" customHeight="1" thickBot="1" x14ac:dyDescent="0.35">
      <c r="C9" s="161" t="s">
        <v>249</v>
      </c>
      <c r="D9" s="161"/>
      <c r="E9" s="96"/>
      <c r="F9">
        <v>4.8300000000000003E-2</v>
      </c>
      <c r="H9">
        <v>4.8800000000000003E-2</v>
      </c>
      <c r="J9">
        <v>4.9399999999999999E-2</v>
      </c>
    </row>
    <row r="10" spans="2:12" ht="21" customHeight="1" x14ac:dyDescent="0.3">
      <c r="C10" s="137" t="s">
        <v>147</v>
      </c>
      <c r="D10" s="138"/>
      <c r="E10" s="139">
        <v>46082</v>
      </c>
      <c r="F10" s="140"/>
      <c r="G10" s="141">
        <v>46113</v>
      </c>
      <c r="H10" s="142"/>
      <c r="I10" s="139">
        <v>46143</v>
      </c>
      <c r="J10" s="143"/>
    </row>
    <row r="11" spans="2:12" ht="21" customHeight="1" x14ac:dyDescent="0.3">
      <c r="C11" s="144" t="s">
        <v>148</v>
      </c>
      <c r="D11" s="145"/>
      <c r="E11" s="146">
        <f>5444466*F9</f>
        <v>262967.70780000003</v>
      </c>
      <c r="F11" s="147"/>
      <c r="G11" s="148">
        <f>4985574*H9</f>
        <v>243296.01120000001</v>
      </c>
      <c r="H11" s="149"/>
      <c r="I11" s="146">
        <f>2965798*J9</f>
        <v>146510.42120000001</v>
      </c>
      <c r="J11" s="150"/>
      <c r="L11">
        <v>95686</v>
      </c>
    </row>
    <row r="12" spans="2:12" ht="21" customHeight="1" thickBot="1" x14ac:dyDescent="0.35">
      <c r="C12" s="151"/>
      <c r="D12" s="152"/>
      <c r="E12" s="55" t="s">
        <v>149</v>
      </c>
      <c r="F12" s="56" t="s">
        <v>233</v>
      </c>
      <c r="G12" s="84" t="s">
        <v>149</v>
      </c>
      <c r="H12" s="85" t="s">
        <v>233</v>
      </c>
      <c r="I12" s="55" t="s">
        <v>149</v>
      </c>
      <c r="J12" s="56" t="s">
        <v>233</v>
      </c>
    </row>
    <row r="13" spans="2:12" ht="21" customHeight="1" thickBot="1" x14ac:dyDescent="0.35">
      <c r="B13" s="134" t="s">
        <v>235</v>
      </c>
      <c r="C13" s="153" t="s">
        <v>248</v>
      </c>
      <c r="D13" s="154"/>
      <c r="E13" s="102">
        <f>1444502*F9</f>
        <v>69769.44660000001</v>
      </c>
      <c r="F13" s="97">
        <f t="shared" ref="F13" si="0">E13/$E$11</f>
        <v>0.26531564344418718</v>
      </c>
      <c r="G13" s="107">
        <f>1011344*H9</f>
        <v>49353.587200000002</v>
      </c>
      <c r="H13" s="97">
        <f t="shared" ref="H13" si="1">G13/G$11</f>
        <v>0.20285407457596658</v>
      </c>
      <c r="I13" s="102">
        <f>1204728*J9</f>
        <v>59513.563199999997</v>
      </c>
      <c r="J13" s="100">
        <f t="shared" ref="J13" si="2">I13/I$11</f>
        <v>0.40620703095760391</v>
      </c>
    </row>
    <row r="14" spans="2:12" ht="21" customHeight="1" thickBot="1" x14ac:dyDescent="0.35">
      <c r="B14" s="135"/>
      <c r="C14" s="155" t="s">
        <v>150</v>
      </c>
      <c r="D14" s="156"/>
      <c r="E14" s="103">
        <f>'Calc - opperational'!G6*F9</f>
        <v>21905.596566000004</v>
      </c>
      <c r="F14" s="52">
        <f>E14/$E$11</f>
        <v>8.3301469786017587E-2</v>
      </c>
      <c r="G14" s="108">
        <f>'Calc - opperational'!J6*H9</f>
        <v>22242.382664000004</v>
      </c>
      <c r="H14" s="87">
        <f>G14/G$11</f>
        <v>9.1421074082944129E-2</v>
      </c>
      <c r="I14" s="103">
        <f>'Calc - opperational'!M6*J9</f>
        <v>0</v>
      </c>
      <c r="J14" s="82">
        <f>I14/I$11</f>
        <v>0</v>
      </c>
    </row>
    <row r="15" spans="2:12" ht="21" customHeight="1" thickBot="1" x14ac:dyDescent="0.35">
      <c r="B15" s="135"/>
      <c r="C15" s="155" t="s">
        <v>239</v>
      </c>
      <c r="D15" s="156"/>
      <c r="E15" s="103">
        <f>'Calc - opperational'!G11*F9</f>
        <v>531.30000000000007</v>
      </c>
      <c r="F15" s="52">
        <f t="shared" ref="F15:F23" si="3">E15/$E$11</f>
        <v>2.0204001641299625E-3</v>
      </c>
      <c r="G15" s="108">
        <f>'Calc - opperational'!J11*H9</f>
        <v>0</v>
      </c>
      <c r="H15" s="87">
        <f t="shared" ref="H15:H24" si="4">G15/G$11</f>
        <v>0</v>
      </c>
      <c r="I15" s="103">
        <f>'Calc - opperational'!J10*J9</f>
        <v>2.8014739999999998</v>
      </c>
      <c r="J15" s="82">
        <f t="shared" ref="J15:J24" si="5">I15/I$11</f>
        <v>1.9121329234155525E-5</v>
      </c>
    </row>
    <row r="16" spans="2:12" ht="21" customHeight="1" thickBot="1" x14ac:dyDescent="0.35">
      <c r="B16" s="135"/>
      <c r="C16" s="155" t="s">
        <v>242</v>
      </c>
      <c r="D16" s="156"/>
      <c r="E16" s="103">
        <f>'Calc - opperational'!D14*F9</f>
        <v>8953.4675999999999</v>
      </c>
      <c r="F16" s="52">
        <f t="shared" si="3"/>
        <v>3.4047783565918123E-2</v>
      </c>
      <c r="G16" s="108">
        <f>'Calc - opperational'!G14*H9</f>
        <v>10965.3112</v>
      </c>
      <c r="H16" s="87">
        <f t="shared" si="4"/>
        <v>4.5069835489353879E-2</v>
      </c>
      <c r="I16" s="103">
        <f>'Calc - opperational'!J14*J9</f>
        <v>2135.4829600000003</v>
      </c>
      <c r="J16" s="82">
        <f t="shared" si="5"/>
        <v>1.4575638664534808E-2</v>
      </c>
    </row>
    <row r="17" spans="2:10" ht="21" customHeight="1" thickBot="1" x14ac:dyDescent="0.35">
      <c r="B17" s="136"/>
      <c r="C17" s="155" t="s">
        <v>238</v>
      </c>
      <c r="D17" s="156"/>
      <c r="E17" s="104">
        <f>E11*F17</f>
        <v>31556.124936000004</v>
      </c>
      <c r="F17" s="95">
        <v>0.12</v>
      </c>
      <c r="G17" s="109">
        <f>G11*H17</f>
        <v>29195.521344000001</v>
      </c>
      <c r="H17" s="95">
        <v>0.12</v>
      </c>
      <c r="I17" s="104">
        <f>I11*J17</f>
        <v>17581.250544000002</v>
      </c>
      <c r="J17" s="98">
        <v>0.12</v>
      </c>
    </row>
    <row r="18" spans="2:10" ht="21" customHeight="1" thickBot="1" x14ac:dyDescent="0.35">
      <c r="B18" s="162" t="s">
        <v>234</v>
      </c>
      <c r="C18" s="163"/>
      <c r="D18" s="164"/>
      <c r="E18" s="105">
        <f>SUM(E14:E17)</f>
        <v>62946.489102000007</v>
      </c>
      <c r="F18" s="53">
        <f>E18/$E$11</f>
        <v>0.23936965351606568</v>
      </c>
      <c r="G18" s="110">
        <f>SUM(G14:G17)</f>
        <v>62403.215208000001</v>
      </c>
      <c r="H18" s="90">
        <f>G18/G$11</f>
        <v>0.25649090957229798</v>
      </c>
      <c r="I18" s="105">
        <f>SUM(I14:I17)</f>
        <v>19719.534978000003</v>
      </c>
      <c r="J18" s="58">
        <f t="shared" si="5"/>
        <v>0.13459475999376896</v>
      </c>
    </row>
    <row r="19" spans="2:10" ht="21" customHeight="1" thickBot="1" x14ac:dyDescent="0.35">
      <c r="B19" s="176" t="s">
        <v>236</v>
      </c>
      <c r="C19" s="155" t="s">
        <v>4</v>
      </c>
      <c r="D19" s="156"/>
      <c r="E19" s="103">
        <f>'Calc - opperational'!D23*F9</f>
        <v>76409.520012000008</v>
      </c>
      <c r="F19" s="52">
        <f t="shared" si="3"/>
        <v>0.29056617122781186</v>
      </c>
      <c r="G19" s="108">
        <f>'Calc - opperational'!G23*H9</f>
        <v>48230.730920000002</v>
      </c>
      <c r="H19" s="87">
        <f t="shared" si="4"/>
        <v>0.19823888884208718</v>
      </c>
      <c r="I19" s="103">
        <f>'Calc - opperational'!J23*J9</f>
        <v>64207.434616000006</v>
      </c>
      <c r="J19" s="82">
        <f t="shared" si="5"/>
        <v>0.4382448298906399</v>
      </c>
    </row>
    <row r="20" spans="2:10" ht="21" customHeight="1" thickBot="1" x14ac:dyDescent="0.35">
      <c r="B20" s="177"/>
      <c r="C20" s="155" t="s">
        <v>151</v>
      </c>
      <c r="D20" s="156"/>
      <c r="E20" s="103">
        <f>'Calc - opperational'!D31*F9</f>
        <v>10317.806877000001</v>
      </c>
      <c r="F20" s="52">
        <f t="shared" si="3"/>
        <v>3.9236022412482689E-2</v>
      </c>
      <c r="G20" s="108">
        <f>'Calc - opperational'!G31*H9</f>
        <v>11248.012528000001</v>
      </c>
      <c r="H20" s="87">
        <f t="shared" si="4"/>
        <v>4.6231799989329213E-2</v>
      </c>
      <c r="I20" s="103">
        <f>'Calc - opperational'!J31*J9</f>
        <v>12634.016902000001</v>
      </c>
      <c r="J20" s="82">
        <f t="shared" si="5"/>
        <v>8.6232889090895604E-2</v>
      </c>
    </row>
    <row r="21" spans="2:10" ht="21" customHeight="1" thickBot="1" x14ac:dyDescent="0.35">
      <c r="B21" s="177"/>
      <c r="C21" s="155" t="s">
        <v>152</v>
      </c>
      <c r="D21" s="156"/>
      <c r="E21" s="103">
        <f>'Calc - opperational'!D42*F9</f>
        <v>82355.807393999989</v>
      </c>
      <c r="F21" s="52">
        <f t="shared" si="3"/>
        <v>0.3131784053752929</v>
      </c>
      <c r="G21" s="108">
        <f>'Calc - opperational'!G42*H9</f>
        <v>126419.11230400001</v>
      </c>
      <c r="H21" s="87">
        <f t="shared" si="4"/>
        <v>0.5196102956249371</v>
      </c>
      <c r="I21" s="103">
        <f>'Calc - opperational'!J42*J9</f>
        <v>84932.496714000008</v>
      </c>
      <c r="J21" s="82">
        <f t="shared" si="5"/>
        <v>0.57970276802398546</v>
      </c>
    </row>
    <row r="22" spans="2:10" ht="21" customHeight="1" thickBot="1" x14ac:dyDescent="0.35">
      <c r="B22" s="177"/>
      <c r="C22" s="155" t="s">
        <v>153</v>
      </c>
      <c r="D22" s="156"/>
      <c r="E22" s="103">
        <f>'Calc - opperational'!D49*F9</f>
        <v>679.52545500000008</v>
      </c>
      <c r="F22" s="52">
        <f t="shared" si="3"/>
        <v>2.5840642590108927E-3</v>
      </c>
      <c r="G22" s="108">
        <f>'Calc - opperational'!G49*H9</f>
        <v>0</v>
      </c>
      <c r="H22" s="87">
        <f t="shared" si="4"/>
        <v>0</v>
      </c>
      <c r="I22" s="103">
        <f>'Calc - opperational'!J49*J9</f>
        <v>12416.591200000001</v>
      </c>
      <c r="J22" s="82">
        <f t="shared" si="5"/>
        <v>8.4748860171866058E-2</v>
      </c>
    </row>
    <row r="23" spans="2:10" ht="21" customHeight="1" thickBot="1" x14ac:dyDescent="0.35">
      <c r="B23" s="178"/>
      <c r="C23" s="155" t="s">
        <v>154</v>
      </c>
      <c r="D23" s="156"/>
      <c r="E23" s="103">
        <f>'Calc - opperational'!D52*F9</f>
        <v>5341.2511530000002</v>
      </c>
      <c r="F23" s="52">
        <f t="shared" si="3"/>
        <v>2.03114336649361E-2</v>
      </c>
      <c r="G23" s="108">
        <f>'Calc - opperational'!G52*H9</f>
        <v>11699.846848000001</v>
      </c>
      <c r="H23" s="87">
        <f t="shared" si="4"/>
        <v>4.8088938204507652E-2</v>
      </c>
      <c r="I23" s="103">
        <f>'Calc - opperational'!J52*J9</f>
        <v>3161.0131280000001</v>
      </c>
      <c r="J23" s="82">
        <f t="shared" si="5"/>
        <v>2.1575346668923506E-2</v>
      </c>
    </row>
    <row r="24" spans="2:10" ht="21" customHeight="1" thickBot="1" x14ac:dyDescent="0.35">
      <c r="B24" s="162" t="s">
        <v>237</v>
      </c>
      <c r="C24" s="163"/>
      <c r="D24" s="164"/>
      <c r="E24" s="106">
        <f>E23+E22+E21+E20+E19</f>
        <v>175103.91089100001</v>
      </c>
      <c r="F24" s="53">
        <f>E24/$E$11</f>
        <v>0.66587609693953453</v>
      </c>
      <c r="G24" s="111">
        <f>G23+G22+G21+G20+G19</f>
        <v>197597.70260000002</v>
      </c>
      <c r="H24" s="90">
        <f t="shared" si="4"/>
        <v>0.81216992266086119</v>
      </c>
      <c r="I24" s="106">
        <f>I23+I22+I21+I20+I19</f>
        <v>177351.55256000001</v>
      </c>
      <c r="J24" s="53">
        <f t="shared" si="5"/>
        <v>1.2105046938463104</v>
      </c>
    </row>
    <row r="25" spans="2:10" ht="21" customHeight="1" x14ac:dyDescent="0.3">
      <c r="B25" s="165" t="s">
        <v>240</v>
      </c>
      <c r="C25" s="166"/>
      <c r="D25" s="167"/>
      <c r="E25" s="157">
        <f>E24+E18+E13</f>
        <v>307819.84659300005</v>
      </c>
      <c r="F25" s="170">
        <f>E25/$E$11</f>
        <v>1.1705613938997874</v>
      </c>
      <c r="G25" s="172">
        <f>G24+G18+G13</f>
        <v>309354.50500800001</v>
      </c>
      <c r="H25" s="174">
        <f>G25/G$11</f>
        <v>1.2715149068091256</v>
      </c>
      <c r="I25" s="157">
        <f>I24+I18+I13</f>
        <v>256584.65073800003</v>
      </c>
      <c r="J25" s="159">
        <f>I25/I$11</f>
        <v>1.7513064847976836</v>
      </c>
    </row>
    <row r="26" spans="2:10" ht="21" customHeight="1" thickBot="1" x14ac:dyDescent="0.35">
      <c r="B26" s="168"/>
      <c r="C26" s="161"/>
      <c r="D26" s="169"/>
      <c r="E26" s="158"/>
      <c r="F26" s="171"/>
      <c r="G26" s="173"/>
      <c r="H26" s="175"/>
      <c r="I26" s="158"/>
      <c r="J26" s="160"/>
    </row>
  </sheetData>
  <mergeCells count="31">
    <mergeCell ref="I25:I26"/>
    <mergeCell ref="J25:J26"/>
    <mergeCell ref="C9:D9"/>
    <mergeCell ref="B24:D24"/>
    <mergeCell ref="B25:D26"/>
    <mergeCell ref="E25:E26"/>
    <mergeCell ref="F25:F26"/>
    <mergeCell ref="G25:G26"/>
    <mergeCell ref="H25:H26"/>
    <mergeCell ref="B18:D18"/>
    <mergeCell ref="B19:B23"/>
    <mergeCell ref="C19:D19"/>
    <mergeCell ref="C20:D20"/>
    <mergeCell ref="C21:D21"/>
    <mergeCell ref="C22:D22"/>
    <mergeCell ref="C23:D23"/>
    <mergeCell ref="B13:B17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C13:D13"/>
    <mergeCell ref="C14:D14"/>
    <mergeCell ref="C15:D15"/>
    <mergeCell ref="C16:D16"/>
    <mergeCell ref="C17:D1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9DE6-310D-4F48-8DF7-A32A526DBF67}">
  <dimension ref="B1:J26"/>
  <sheetViews>
    <sheetView topLeftCell="A7" workbookViewId="0">
      <selection activeCell="I18" sqref="I18"/>
    </sheetView>
  </sheetViews>
  <sheetFormatPr defaultRowHeight="14.4" x14ac:dyDescent="0.3"/>
  <cols>
    <col min="2" max="2" width="22.21875" bestFit="1" customWidth="1"/>
    <col min="3" max="3" width="18.21875" bestFit="1" customWidth="1"/>
    <col min="4" max="4" width="23" customWidth="1"/>
    <col min="5" max="5" width="16.6640625" customWidth="1"/>
    <col min="6" max="6" width="18.44140625" customWidth="1"/>
    <col min="7" max="10" width="14.109375" customWidth="1"/>
  </cols>
  <sheetData>
    <row r="1" spans="2:10" x14ac:dyDescent="0.3">
      <c r="B1" s="31" t="s">
        <v>243</v>
      </c>
    </row>
    <row r="2" spans="2:10" x14ac:dyDescent="0.3">
      <c r="C2" s="35" t="s">
        <v>147</v>
      </c>
      <c r="D2" s="93">
        <f>E10</f>
        <v>46082</v>
      </c>
      <c r="E2" s="93">
        <f>G10</f>
        <v>46113</v>
      </c>
      <c r="F2" s="93">
        <f>I10</f>
        <v>46143</v>
      </c>
    </row>
    <row r="3" spans="2:10" x14ac:dyDescent="0.3">
      <c r="C3" s="35" t="s">
        <v>247</v>
      </c>
      <c r="D3" s="34">
        <f>E11</f>
        <v>5444466</v>
      </c>
      <c r="E3" s="34">
        <f>G11</f>
        <v>4985574</v>
      </c>
      <c r="F3" s="34">
        <f>I11</f>
        <v>2965798</v>
      </c>
    </row>
    <row r="4" spans="2:10" x14ac:dyDescent="0.3">
      <c r="C4" s="35" t="s">
        <v>244</v>
      </c>
      <c r="D4" s="34">
        <f>E25</f>
        <v>6373081.709999999</v>
      </c>
      <c r="E4" s="34">
        <f>G25</f>
        <v>6339231.6600000001</v>
      </c>
      <c r="F4" s="34">
        <f>I25</f>
        <v>5194021.2700000005</v>
      </c>
    </row>
    <row r="5" spans="2:10" x14ac:dyDescent="0.3">
      <c r="C5" s="35" t="s">
        <v>245</v>
      </c>
      <c r="D5" s="92">
        <f>D3-D4</f>
        <v>-928615.70999999903</v>
      </c>
      <c r="E5" s="92">
        <f>E3-E4</f>
        <v>-1353657.6600000001</v>
      </c>
      <c r="F5" s="92">
        <f>F3-F4</f>
        <v>-2228223.2700000005</v>
      </c>
    </row>
    <row r="6" spans="2:10" x14ac:dyDescent="0.3">
      <c r="C6" s="35" t="s">
        <v>246</v>
      </c>
      <c r="D6" s="72">
        <f>D5/D3</f>
        <v>-0.17056139389978725</v>
      </c>
      <c r="E6" s="72">
        <f>E5/E3</f>
        <v>-0.27151490680912571</v>
      </c>
      <c r="F6" s="72">
        <f>F5/F3</f>
        <v>-0.75130648479768358</v>
      </c>
    </row>
    <row r="9" spans="2:10" ht="21" customHeight="1" thickBot="1" x14ac:dyDescent="0.35">
      <c r="B9" t="s">
        <v>230</v>
      </c>
      <c r="E9" s="96"/>
    </row>
    <row r="10" spans="2:10" ht="21" customHeight="1" x14ac:dyDescent="0.3">
      <c r="C10" s="196" t="s">
        <v>147</v>
      </c>
      <c r="D10" s="197"/>
      <c r="E10" s="188">
        <v>46082</v>
      </c>
      <c r="F10" s="189"/>
      <c r="G10" s="186">
        <v>46113</v>
      </c>
      <c r="H10" s="187"/>
      <c r="I10" s="188">
        <v>46143</v>
      </c>
      <c r="J10" s="189"/>
    </row>
    <row r="11" spans="2:10" ht="21" customHeight="1" x14ac:dyDescent="0.3">
      <c r="C11" s="190" t="s">
        <v>148</v>
      </c>
      <c r="D11" s="191"/>
      <c r="E11" s="192">
        <v>5444466</v>
      </c>
      <c r="F11" s="193"/>
      <c r="G11" s="194">
        <v>4985574</v>
      </c>
      <c r="H11" s="195"/>
      <c r="I11" s="192">
        <v>2965798</v>
      </c>
      <c r="J11" s="193"/>
    </row>
    <row r="12" spans="2:10" ht="21" customHeight="1" thickBot="1" x14ac:dyDescent="0.35">
      <c r="C12" s="151"/>
      <c r="D12" s="152"/>
      <c r="E12" s="55" t="s">
        <v>149</v>
      </c>
      <c r="F12" s="56" t="s">
        <v>233</v>
      </c>
      <c r="G12" s="84" t="s">
        <v>149</v>
      </c>
      <c r="H12" s="85" t="s">
        <v>233</v>
      </c>
      <c r="I12" s="55" t="s">
        <v>149</v>
      </c>
      <c r="J12" s="56" t="s">
        <v>233</v>
      </c>
    </row>
    <row r="13" spans="2:10" ht="21" customHeight="1" thickBot="1" x14ac:dyDescent="0.35">
      <c r="B13" s="129" t="s">
        <v>261</v>
      </c>
      <c r="C13" s="198" t="s">
        <v>248</v>
      </c>
      <c r="D13" s="154"/>
      <c r="E13" s="99">
        <v>1444502</v>
      </c>
      <c r="F13" s="97">
        <f t="shared" ref="F13" si="0">E13/$E$11</f>
        <v>0.26531564344418718</v>
      </c>
      <c r="G13" s="99">
        <v>1011344</v>
      </c>
      <c r="H13" s="97">
        <f t="shared" ref="H13" si="1">G13/G$11</f>
        <v>0.20285407457596658</v>
      </c>
      <c r="I13" s="99">
        <v>1204728</v>
      </c>
      <c r="J13" s="100">
        <f t="shared" ref="J13" si="2">I13/I$11</f>
        <v>0.40620703095760397</v>
      </c>
    </row>
    <row r="14" spans="2:10" ht="21" customHeight="1" thickBot="1" x14ac:dyDescent="0.35">
      <c r="B14" s="177" t="s">
        <v>235</v>
      </c>
      <c r="C14" s="185" t="s">
        <v>150</v>
      </c>
      <c r="D14" s="185"/>
      <c r="E14" s="51">
        <f>'Calc - opperational'!G6</f>
        <v>453532.02</v>
      </c>
      <c r="F14" s="52">
        <f>E14/$E$11</f>
        <v>8.3301469786017587E-2</v>
      </c>
      <c r="G14" s="86">
        <f>'Calc - opperational'!J6</f>
        <v>455786.53</v>
      </c>
      <c r="H14" s="87">
        <f>G14/G$11</f>
        <v>9.1421074082944115E-2</v>
      </c>
      <c r="I14" s="51">
        <f>'Calc - opperational'!M6</f>
        <v>0</v>
      </c>
      <c r="J14" s="82">
        <f>I14/I$11</f>
        <v>0</v>
      </c>
    </row>
    <row r="15" spans="2:10" ht="21" customHeight="1" thickBot="1" x14ac:dyDescent="0.35">
      <c r="B15" s="177"/>
      <c r="C15" s="185" t="s">
        <v>239</v>
      </c>
      <c r="D15" s="185"/>
      <c r="E15" s="51">
        <f>'Calc - opperational'!G11</f>
        <v>11000</v>
      </c>
      <c r="F15" s="52">
        <f t="shared" ref="F15:F25" si="3">E15/$E$11</f>
        <v>2.0204001641299625E-3</v>
      </c>
      <c r="G15" s="86">
        <f>'Calc - opperational'!J11</f>
        <v>0</v>
      </c>
      <c r="H15" s="87">
        <f t="shared" ref="H15:H24" si="4">G15/G$11</f>
        <v>0</v>
      </c>
      <c r="I15" s="83">
        <f>'Calc - opperational'!J10</f>
        <v>56.71</v>
      </c>
      <c r="J15" s="82">
        <f t="shared" ref="J15:J24" si="5">I15/I$11</f>
        <v>1.9121329234155528E-5</v>
      </c>
    </row>
    <row r="16" spans="2:10" ht="21" customHeight="1" thickBot="1" x14ac:dyDescent="0.35">
      <c r="B16" s="177"/>
      <c r="C16" s="185" t="s">
        <v>242</v>
      </c>
      <c r="D16" s="185"/>
      <c r="E16" s="81">
        <f>'Calc - opperational'!D14</f>
        <v>185372</v>
      </c>
      <c r="F16" s="52">
        <f t="shared" si="3"/>
        <v>3.404778356591813E-2</v>
      </c>
      <c r="G16" s="88">
        <f>'Calc - opperational'!G14</f>
        <v>224699</v>
      </c>
      <c r="H16" s="87">
        <f t="shared" si="4"/>
        <v>4.5069835489353886E-2</v>
      </c>
      <c r="I16" s="81">
        <f>'Calc - opperational'!J14</f>
        <v>43228.4</v>
      </c>
      <c r="J16" s="82">
        <f t="shared" si="5"/>
        <v>1.4575638664534808E-2</v>
      </c>
    </row>
    <row r="17" spans="2:10" ht="21" customHeight="1" thickBot="1" x14ac:dyDescent="0.35">
      <c r="B17" s="177"/>
      <c r="C17" s="185" t="s">
        <v>238</v>
      </c>
      <c r="D17" s="185"/>
      <c r="E17" s="94">
        <f>E11*F17</f>
        <v>653335.91999999993</v>
      </c>
      <c r="F17" s="95">
        <v>0.12</v>
      </c>
      <c r="G17" s="94">
        <f>G11*H17</f>
        <v>598268.88</v>
      </c>
      <c r="H17" s="95">
        <v>0.12</v>
      </c>
      <c r="I17" s="94">
        <f>I11*J17</f>
        <v>355895.76</v>
      </c>
      <c r="J17" s="98">
        <v>0.12</v>
      </c>
    </row>
    <row r="18" spans="2:10" ht="21" customHeight="1" thickBot="1" x14ac:dyDescent="0.35">
      <c r="B18" s="162" t="s">
        <v>234</v>
      </c>
      <c r="C18" s="163"/>
      <c r="D18" s="164"/>
      <c r="E18" s="38">
        <f>SUM(E14:E17)</f>
        <v>1303239.94</v>
      </c>
      <c r="F18" s="53">
        <f>E18/$E$11</f>
        <v>0.23936965351606565</v>
      </c>
      <c r="G18" s="89">
        <f>SUM(G14:G17)</f>
        <v>1278754.4100000001</v>
      </c>
      <c r="H18" s="90">
        <f>G18/G$11</f>
        <v>0.25649090957229803</v>
      </c>
      <c r="I18" s="38">
        <f>SUM(I14:I17)</f>
        <v>399180.87</v>
      </c>
      <c r="J18" s="58">
        <f t="shared" si="5"/>
        <v>0.13459475999376896</v>
      </c>
    </row>
    <row r="19" spans="2:10" ht="21" customHeight="1" thickBot="1" x14ac:dyDescent="0.35">
      <c r="B19" s="177" t="s">
        <v>236</v>
      </c>
      <c r="C19" s="185" t="s">
        <v>4</v>
      </c>
      <c r="D19" s="185"/>
      <c r="E19" s="81">
        <f>'Calc - opperational'!D23</f>
        <v>1581977.6400000001</v>
      </c>
      <c r="F19" s="52">
        <f t="shared" si="3"/>
        <v>0.29056617122781192</v>
      </c>
      <c r="G19" s="88">
        <f>'Calc - opperational'!G23</f>
        <v>988334.64999999991</v>
      </c>
      <c r="H19" s="87">
        <f t="shared" si="4"/>
        <v>0.19823888884208718</v>
      </c>
      <c r="I19" s="81">
        <f>'Calc - opperational'!J23</f>
        <v>1299745.6400000001</v>
      </c>
      <c r="J19" s="82">
        <f t="shared" si="5"/>
        <v>0.43824482989063995</v>
      </c>
    </row>
    <row r="20" spans="2:10" ht="21" customHeight="1" thickBot="1" x14ac:dyDescent="0.35">
      <c r="B20" s="177"/>
      <c r="C20" s="185" t="s">
        <v>151</v>
      </c>
      <c r="D20" s="185"/>
      <c r="E20" s="81">
        <f>'Calc - opperational'!D31</f>
        <v>213619.19</v>
      </c>
      <c r="F20" s="52">
        <f t="shared" si="3"/>
        <v>3.9236022412482696E-2</v>
      </c>
      <c r="G20" s="88">
        <f>'Calc - opperational'!G31</f>
        <v>230492.06</v>
      </c>
      <c r="H20" s="87">
        <f t="shared" si="4"/>
        <v>4.6231799989329213E-2</v>
      </c>
      <c r="I20" s="81">
        <f>'Calc - opperational'!J31</f>
        <v>255749.33000000002</v>
      </c>
      <c r="J20" s="82">
        <f t="shared" si="5"/>
        <v>8.6232889090895604E-2</v>
      </c>
    </row>
    <row r="21" spans="2:10" ht="21" customHeight="1" thickBot="1" x14ac:dyDescent="0.35">
      <c r="B21" s="177"/>
      <c r="C21" s="185" t="s">
        <v>152</v>
      </c>
      <c r="D21" s="185"/>
      <c r="E21" s="81">
        <f>'Calc - opperational'!D42</f>
        <v>1705089.1799999997</v>
      </c>
      <c r="F21" s="52">
        <f t="shared" si="3"/>
        <v>0.31317840537529296</v>
      </c>
      <c r="G21" s="88">
        <f>'Calc - opperational'!G42</f>
        <v>2590555.58</v>
      </c>
      <c r="H21" s="87">
        <f t="shared" si="4"/>
        <v>0.5196102956249371</v>
      </c>
      <c r="I21" s="81">
        <f>'Calc - opperational'!J42</f>
        <v>1719281.31</v>
      </c>
      <c r="J21" s="82">
        <f t="shared" si="5"/>
        <v>0.57970276802398546</v>
      </c>
    </row>
    <row r="22" spans="2:10" ht="21" customHeight="1" thickBot="1" x14ac:dyDescent="0.35">
      <c r="B22" s="177"/>
      <c r="C22" s="185" t="s">
        <v>153</v>
      </c>
      <c r="D22" s="185"/>
      <c r="E22" s="81">
        <f>'Calc - opperational'!D49</f>
        <v>14068.85</v>
      </c>
      <c r="F22" s="52">
        <f t="shared" si="3"/>
        <v>2.5840642590108931E-3</v>
      </c>
      <c r="G22" s="88">
        <f>'Calc - opperational'!G49</f>
        <v>0</v>
      </c>
      <c r="H22" s="87">
        <f t="shared" si="4"/>
        <v>0</v>
      </c>
      <c r="I22" s="81">
        <f>'Calc - opperational'!J49</f>
        <v>251348</v>
      </c>
      <c r="J22" s="82">
        <f t="shared" si="5"/>
        <v>8.4748860171866058E-2</v>
      </c>
    </row>
    <row r="23" spans="2:10" ht="21" customHeight="1" thickBot="1" x14ac:dyDescent="0.35">
      <c r="B23" s="178"/>
      <c r="C23" s="185" t="s">
        <v>154</v>
      </c>
      <c r="D23" s="185"/>
      <c r="E23" s="81">
        <f>'Calc - opperational'!D52</f>
        <v>110584.91</v>
      </c>
      <c r="F23" s="52">
        <f t="shared" si="3"/>
        <v>2.0311433664936103E-2</v>
      </c>
      <c r="G23" s="88">
        <f>'Calc - opperational'!G52</f>
        <v>239750.96</v>
      </c>
      <c r="H23" s="87">
        <f t="shared" si="4"/>
        <v>4.8088938204507645E-2</v>
      </c>
      <c r="I23" s="81">
        <f>'Calc - opperational'!J52</f>
        <v>63988.12</v>
      </c>
      <c r="J23" s="82">
        <f t="shared" si="5"/>
        <v>2.1575346668923509E-2</v>
      </c>
    </row>
    <row r="24" spans="2:10" ht="21" customHeight="1" thickBot="1" x14ac:dyDescent="0.35">
      <c r="B24" s="162" t="s">
        <v>237</v>
      </c>
      <c r="C24" s="163"/>
      <c r="D24" s="163"/>
      <c r="E24" s="49">
        <f>E23+E22+E21+E20+E19</f>
        <v>3625339.7699999996</v>
      </c>
      <c r="F24" s="53">
        <f>E24/$E$11</f>
        <v>0.66587609693953453</v>
      </c>
      <c r="G24" s="91">
        <f>G23+G22+G21+G20+G19</f>
        <v>4049133.25</v>
      </c>
      <c r="H24" s="90">
        <f t="shared" si="4"/>
        <v>0.81216992266086108</v>
      </c>
      <c r="I24" s="49">
        <f>I23+I22+I21+I20+I19</f>
        <v>3590112.4000000004</v>
      </c>
      <c r="J24" s="53">
        <f t="shared" si="5"/>
        <v>1.2105046938463107</v>
      </c>
    </row>
    <row r="25" spans="2:10" ht="21" customHeight="1" x14ac:dyDescent="0.3">
      <c r="B25" s="165" t="s">
        <v>240</v>
      </c>
      <c r="C25" s="166"/>
      <c r="D25" s="166"/>
      <c r="E25" s="181">
        <f>E24+E18+E13</f>
        <v>6373081.709999999</v>
      </c>
      <c r="F25" s="159">
        <f t="shared" si="3"/>
        <v>1.1705613938997872</v>
      </c>
      <c r="G25" s="183">
        <f>G24+G18+G13</f>
        <v>6339231.6600000001</v>
      </c>
      <c r="H25" s="179">
        <f>G25/G$11</f>
        <v>1.2715149068091258</v>
      </c>
      <c r="I25" s="181">
        <f>I24+I18+I13</f>
        <v>5194021.2700000005</v>
      </c>
      <c r="J25" s="159">
        <f>I25/I$11</f>
        <v>1.7513064847976836</v>
      </c>
    </row>
    <row r="26" spans="2:10" ht="21" customHeight="1" thickBot="1" x14ac:dyDescent="0.35">
      <c r="B26" s="168"/>
      <c r="C26" s="161"/>
      <c r="D26" s="161"/>
      <c r="E26" s="182"/>
      <c r="F26" s="160"/>
      <c r="G26" s="184"/>
      <c r="H26" s="180"/>
      <c r="I26" s="182"/>
      <c r="J26" s="160"/>
    </row>
  </sheetData>
  <mergeCells count="30">
    <mergeCell ref="B18:D18"/>
    <mergeCell ref="G10:H10"/>
    <mergeCell ref="I10:J10"/>
    <mergeCell ref="C11:D11"/>
    <mergeCell ref="E11:F11"/>
    <mergeCell ref="G11:H11"/>
    <mergeCell ref="I11:J11"/>
    <mergeCell ref="C12:D12"/>
    <mergeCell ref="C10:D10"/>
    <mergeCell ref="E10:F10"/>
    <mergeCell ref="C13:D13"/>
    <mergeCell ref="B14:B17"/>
    <mergeCell ref="C14:D14"/>
    <mergeCell ref="C15:D15"/>
    <mergeCell ref="C16:D16"/>
    <mergeCell ref="C17:D17"/>
    <mergeCell ref="H25:H26"/>
    <mergeCell ref="I25:I26"/>
    <mergeCell ref="J25:J26"/>
    <mergeCell ref="G25:G26"/>
    <mergeCell ref="B19:B23"/>
    <mergeCell ref="C19:D19"/>
    <mergeCell ref="C20:D20"/>
    <mergeCell ref="C21:D21"/>
    <mergeCell ref="C22:D22"/>
    <mergeCell ref="C23:D23"/>
    <mergeCell ref="B24:D24"/>
    <mergeCell ref="B25:D26"/>
    <mergeCell ref="E25:E26"/>
    <mergeCell ref="F25:F2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F571-8E01-4F39-82BB-76CB469FCDDC}">
  <dimension ref="A1:L58"/>
  <sheetViews>
    <sheetView workbookViewId="0">
      <selection activeCell="A6" sqref="A6:A20"/>
    </sheetView>
  </sheetViews>
  <sheetFormatPr defaultRowHeight="14.4" x14ac:dyDescent="0.3"/>
  <cols>
    <col min="2" max="2" width="11.109375" customWidth="1"/>
    <col min="3" max="3" width="25.77734375" customWidth="1"/>
    <col min="4" max="4" width="13.44140625" customWidth="1"/>
    <col min="5" max="5" width="8.5546875" customWidth="1"/>
    <col min="6" max="6" width="11.44140625" customWidth="1"/>
    <col min="7" max="7" width="15.88671875" customWidth="1"/>
    <col min="8" max="8" width="8.5546875" bestFit="1" customWidth="1"/>
    <col min="9" max="9" width="11.44140625" bestFit="1" customWidth="1"/>
    <col min="10" max="10" width="15.5546875" customWidth="1"/>
    <col min="12" max="12" width="11.44140625" bestFit="1" customWidth="1"/>
  </cols>
  <sheetData>
    <row r="1" spans="1:12" ht="15" thickBot="1" x14ac:dyDescent="0.35">
      <c r="A1" t="s">
        <v>230</v>
      </c>
    </row>
    <row r="2" spans="1:12" x14ac:dyDescent="0.3">
      <c r="B2" s="196" t="s">
        <v>147</v>
      </c>
      <c r="C2" s="197"/>
      <c r="D2" s="188">
        <v>46082</v>
      </c>
      <c r="E2" s="189"/>
      <c r="F2" s="199"/>
      <c r="G2" s="188">
        <v>46113</v>
      </c>
      <c r="H2" s="189"/>
      <c r="I2" s="199"/>
      <c r="J2" s="188">
        <v>46143</v>
      </c>
      <c r="K2" s="189"/>
      <c r="L2" s="199"/>
    </row>
    <row r="3" spans="1:12" x14ac:dyDescent="0.3">
      <c r="B3" s="190" t="s">
        <v>148</v>
      </c>
      <c r="C3" s="191"/>
      <c r="D3" s="192">
        <v>5444466</v>
      </c>
      <c r="E3" s="193"/>
      <c r="F3" s="200"/>
      <c r="G3" s="192">
        <v>4985574</v>
      </c>
      <c r="H3" s="193"/>
      <c r="I3" s="200"/>
      <c r="J3" s="192">
        <v>2965798</v>
      </c>
      <c r="K3" s="193"/>
      <c r="L3" s="200"/>
    </row>
    <row r="4" spans="1:12" ht="15" thickBot="1" x14ac:dyDescent="0.35">
      <c r="B4" s="182" t="s">
        <v>232</v>
      </c>
      <c r="C4" s="204"/>
      <c r="D4" s="201">
        <v>1520694</v>
      </c>
      <c r="E4" s="202"/>
      <c r="F4" s="203"/>
      <c r="G4" s="201">
        <v>1807902</v>
      </c>
      <c r="H4" s="202"/>
      <c r="I4" s="203"/>
      <c r="J4" s="201">
        <v>1081464</v>
      </c>
      <c r="K4" s="202"/>
      <c r="L4" s="203"/>
    </row>
    <row r="5" spans="1:12" ht="15" thickBot="1" x14ac:dyDescent="0.35">
      <c r="D5" s="55" t="s">
        <v>149</v>
      </c>
      <c r="E5" s="56" t="s">
        <v>233</v>
      </c>
      <c r="F5" s="57" t="s">
        <v>241</v>
      </c>
      <c r="G5" s="55" t="s">
        <v>149</v>
      </c>
      <c r="H5" s="56" t="s">
        <v>233</v>
      </c>
      <c r="I5" s="57" t="s">
        <v>241</v>
      </c>
      <c r="J5" s="55" t="s">
        <v>149</v>
      </c>
      <c r="K5" s="56" t="s">
        <v>233</v>
      </c>
      <c r="L5" s="57" t="s">
        <v>241</v>
      </c>
    </row>
    <row r="6" spans="1:12" s="45" customFormat="1" ht="15" thickBot="1" x14ac:dyDescent="0.35">
      <c r="A6" s="208" t="s">
        <v>235</v>
      </c>
      <c r="B6" s="163" t="s">
        <v>150</v>
      </c>
      <c r="C6" s="163"/>
      <c r="D6" s="44">
        <f>SUM(D7:D9)</f>
        <v>137785.1</v>
      </c>
      <c r="E6" s="53">
        <f>D6/$D$3</f>
        <v>2.5307367150423934E-2</v>
      </c>
      <c r="F6" s="58">
        <f>D6/$D$4</f>
        <v>9.0606722983059051E-2</v>
      </c>
      <c r="G6" s="44">
        <f>SUM(G7:G9)</f>
        <v>453532.02</v>
      </c>
      <c r="H6" s="53">
        <f t="shared" ref="H6:H12" si="0">G6/G$3</f>
        <v>9.0968867376153686E-2</v>
      </c>
      <c r="I6" s="58">
        <f t="shared" ref="I6:I12" si="1">G6/G$4</f>
        <v>0.25086095374638673</v>
      </c>
      <c r="J6" s="44">
        <f>SUM(J7:J9)</f>
        <v>455786.53</v>
      </c>
      <c r="K6" s="53">
        <f>J6/J$3</f>
        <v>0.15368090814006888</v>
      </c>
      <c r="L6" s="58">
        <f t="shared" ref="L6:L12" si="2">J6/J$4</f>
        <v>0.42145326150477502</v>
      </c>
    </row>
    <row r="7" spans="1:12" x14ac:dyDescent="0.3">
      <c r="A7" s="209"/>
      <c r="C7" t="s">
        <v>19</v>
      </c>
      <c r="D7" s="43">
        <f>'03-2026'!F8</f>
        <v>35215.79</v>
      </c>
      <c r="E7" s="54">
        <f>D7/$D$3</f>
        <v>6.4681807178151177E-3</v>
      </c>
      <c r="F7" s="59">
        <f>D7/$D$4</f>
        <v>2.3157709572076961E-2</v>
      </c>
      <c r="G7" s="43">
        <f>'04-2026'!F2</f>
        <v>53042</v>
      </c>
      <c r="H7" s="54">
        <f t="shared" si="0"/>
        <v>1.0639095919547077E-2</v>
      </c>
      <c r="I7" s="59">
        <f t="shared" si="1"/>
        <v>2.9338979657083184E-2</v>
      </c>
      <c r="J7" s="43">
        <f>'05-2026'!F5</f>
        <v>55000</v>
      </c>
      <c r="K7" s="54">
        <f t="shared" ref="K7:K12" si="3">J7/J$3</f>
        <v>1.8544755913922659E-2</v>
      </c>
      <c r="L7" s="59">
        <f t="shared" si="2"/>
        <v>5.0856986455397497E-2</v>
      </c>
    </row>
    <row r="8" spans="1:12" x14ac:dyDescent="0.3">
      <c r="A8" s="209"/>
      <c r="C8" t="s">
        <v>28</v>
      </c>
      <c r="D8" s="39">
        <f>'03-2026'!F11</f>
        <v>102569.31</v>
      </c>
      <c r="E8" s="54">
        <f>D8/$D$3</f>
        <v>1.8839186432608818E-2</v>
      </c>
      <c r="F8" s="59">
        <f>D8/$D$4</f>
        <v>6.7449013410982084E-2</v>
      </c>
      <c r="G8" s="39">
        <f>'04-2026'!F7</f>
        <v>119986.02</v>
      </c>
      <c r="H8" s="54">
        <f t="shared" si="0"/>
        <v>2.406664107282331E-2</v>
      </c>
      <c r="I8" s="59">
        <f t="shared" si="1"/>
        <v>6.6367546470992342E-2</v>
      </c>
      <c r="J8" s="39">
        <f>'05-2026'!F7</f>
        <v>126339.53</v>
      </c>
      <c r="K8" s="54">
        <f t="shared" si="3"/>
        <v>4.2598831747812899E-2</v>
      </c>
      <c r="L8" s="59">
        <f t="shared" si="2"/>
        <v>0.11682268665438701</v>
      </c>
    </row>
    <row r="9" spans="1:12" ht="15" thickBot="1" x14ac:dyDescent="0.35">
      <c r="A9" s="209"/>
      <c r="C9" t="s">
        <v>103</v>
      </c>
      <c r="D9" s="41"/>
      <c r="E9" s="13"/>
      <c r="F9" s="42"/>
      <c r="G9" s="68">
        <f>'04-2026'!F25</f>
        <v>280504</v>
      </c>
      <c r="H9" s="54">
        <f t="shared" si="0"/>
        <v>5.6263130383783291E-2</v>
      </c>
      <c r="I9" s="59">
        <f t="shared" si="1"/>
        <v>0.15515442761831116</v>
      </c>
      <c r="J9" s="39">
        <f>'05-2026'!F23</f>
        <v>274447</v>
      </c>
      <c r="K9" s="54">
        <f t="shared" si="3"/>
        <v>9.2537320478333324E-2</v>
      </c>
      <c r="L9" s="59">
        <f t="shared" si="2"/>
        <v>0.25377358839499048</v>
      </c>
    </row>
    <row r="10" spans="1:12" s="45" customFormat="1" ht="15" thickBot="1" x14ac:dyDescent="0.35">
      <c r="A10" s="209"/>
      <c r="B10" s="163" t="s">
        <v>239</v>
      </c>
      <c r="C10" s="163"/>
      <c r="D10" s="47">
        <f>SUM(D11:D13)</f>
        <v>0</v>
      </c>
      <c r="E10" s="53">
        <f>D10/$D$3</f>
        <v>0</v>
      </c>
      <c r="F10" s="58">
        <f>D10/$D$4</f>
        <v>0</v>
      </c>
      <c r="G10" s="44">
        <f>SUM(G11:G13)</f>
        <v>11000</v>
      </c>
      <c r="H10" s="53">
        <f t="shared" si="0"/>
        <v>2.2063658066252753E-3</v>
      </c>
      <c r="I10" s="58">
        <f t="shared" si="1"/>
        <v>6.0844005925099918E-3</v>
      </c>
      <c r="J10" s="47">
        <f t="shared" ref="J10" si="4">SUM(J11:J13)</f>
        <v>56.71</v>
      </c>
      <c r="K10" s="133">
        <f>J10/J$3</f>
        <v>1.9121329234155528E-5</v>
      </c>
      <c r="L10" s="58">
        <f t="shared" si="2"/>
        <v>5.2438176397919859E-5</v>
      </c>
    </row>
    <row r="11" spans="1:12" x14ac:dyDescent="0.3">
      <c r="A11" s="209"/>
      <c r="C11" t="s">
        <v>83</v>
      </c>
      <c r="D11" s="46"/>
      <c r="E11" s="54">
        <f>D11/$D$3</f>
        <v>0</v>
      </c>
      <c r="F11" s="59">
        <f>D11/$D$4</f>
        <v>0</v>
      </c>
      <c r="G11" s="43">
        <f>'04-2026'!F10</f>
        <v>11000</v>
      </c>
      <c r="H11" s="54">
        <f t="shared" si="0"/>
        <v>2.2063658066252753E-3</v>
      </c>
      <c r="I11" s="59">
        <f t="shared" si="1"/>
        <v>6.0844005925099918E-3</v>
      </c>
      <c r="J11" s="46">
        <v>0</v>
      </c>
      <c r="K11" s="54">
        <f t="shared" si="3"/>
        <v>0</v>
      </c>
      <c r="L11" s="59">
        <f t="shared" si="2"/>
        <v>0</v>
      </c>
    </row>
    <row r="12" spans="1:12" x14ac:dyDescent="0.3">
      <c r="A12" s="209"/>
      <c r="C12" t="s">
        <v>266</v>
      </c>
      <c r="D12" s="36"/>
      <c r="E12" s="54">
        <f>D12/$D$3</f>
        <v>0</v>
      </c>
      <c r="F12" s="59">
        <f>D12/$D$4</f>
        <v>0</v>
      </c>
      <c r="G12" s="36"/>
      <c r="H12" s="54">
        <f t="shared" si="0"/>
        <v>0</v>
      </c>
      <c r="I12" s="59">
        <f t="shared" si="1"/>
        <v>0</v>
      </c>
      <c r="J12" s="132">
        <v>56.71</v>
      </c>
      <c r="K12" s="54">
        <f t="shared" si="3"/>
        <v>1.9121329234155528E-5</v>
      </c>
      <c r="L12" s="59">
        <f t="shared" si="2"/>
        <v>5.2438176397919859E-5</v>
      </c>
    </row>
    <row r="13" spans="1:12" ht="15" thickBot="1" x14ac:dyDescent="0.35">
      <c r="A13" s="209"/>
      <c r="D13" s="41"/>
      <c r="E13" s="13"/>
      <c r="F13" s="42"/>
      <c r="G13" s="41"/>
      <c r="H13" s="70"/>
      <c r="I13" s="71"/>
      <c r="J13" s="41"/>
      <c r="K13" s="70"/>
      <c r="L13" s="71"/>
    </row>
    <row r="14" spans="1:12" s="45" customFormat="1" ht="15" thickBot="1" x14ac:dyDescent="0.35">
      <c r="A14" s="209"/>
      <c r="B14" s="163" t="s">
        <v>242</v>
      </c>
      <c r="C14" s="163"/>
      <c r="D14" s="49">
        <f>SUM(D15:D18)</f>
        <v>185372</v>
      </c>
      <c r="E14" s="53">
        <f>D14/$D$3</f>
        <v>3.404778356591813E-2</v>
      </c>
      <c r="F14" s="58">
        <f>D14/$D$4</f>
        <v>0.12189960636393647</v>
      </c>
      <c r="G14" s="49">
        <f>SUM(G15:G18)</f>
        <v>224699</v>
      </c>
      <c r="H14" s="53">
        <f>G14/G$3</f>
        <v>4.5069835489353886E-2</v>
      </c>
      <c r="I14" s="58">
        <f>G14/G$4</f>
        <v>0.12428715715785479</v>
      </c>
      <c r="J14" s="49">
        <f>SUM(J15:J18)</f>
        <v>43228.4</v>
      </c>
      <c r="K14" s="53">
        <f>J14/J$3</f>
        <v>1.4575638664534808E-2</v>
      </c>
      <c r="L14" s="58">
        <f>J14/J$4</f>
        <v>3.9972111877972824E-2</v>
      </c>
    </row>
    <row r="15" spans="1:12" x14ac:dyDescent="0.3">
      <c r="A15" s="209"/>
      <c r="C15" t="s">
        <v>225</v>
      </c>
      <c r="D15" s="48">
        <f>'Payment+Assesment'!F21</f>
        <v>149204</v>
      </c>
      <c r="E15" s="54">
        <f>D15/$D$3</f>
        <v>2.7404707826258812E-2</v>
      </c>
      <c r="F15" s="59">
        <f>D15/$D$4</f>
        <v>9.8115728739641236E-2</v>
      </c>
      <c r="G15" s="48">
        <f>'Payment+Assesment'!F23</f>
        <v>183619</v>
      </c>
      <c r="H15" s="54">
        <f>G15/G$3</f>
        <v>3.6830062095156949E-2</v>
      </c>
      <c r="I15" s="59">
        <f>G15/G$4</f>
        <v>0.10156468658146293</v>
      </c>
      <c r="J15" s="48">
        <f>'Payment+Assesment'!L21</f>
        <v>0</v>
      </c>
      <c r="K15" s="54">
        <f>J15/J$3</f>
        <v>0</v>
      </c>
      <c r="L15" s="59">
        <f>J15/J$4</f>
        <v>0</v>
      </c>
    </row>
    <row r="16" spans="1:12" x14ac:dyDescent="0.3">
      <c r="A16" s="209"/>
      <c r="C16" t="s">
        <v>224</v>
      </c>
      <c r="D16" s="40">
        <f>'Payment+Assesment'!F20</f>
        <v>36168</v>
      </c>
      <c r="E16" s="54">
        <f>D16/$D$3</f>
        <v>6.6430757396593165E-3</v>
      </c>
      <c r="F16" s="59">
        <f>D16/$D$4</f>
        <v>2.3783877624295222E-2</v>
      </c>
      <c r="G16" s="40">
        <f>'Payment+Assesment'!F22</f>
        <v>41080</v>
      </c>
      <c r="H16" s="54">
        <f>G16/G$3</f>
        <v>8.2397733941969378E-3</v>
      </c>
      <c r="I16" s="59">
        <f>G16/G$4</f>
        <v>2.2722470576391863E-2</v>
      </c>
      <c r="J16" s="40">
        <f>'Payment+Assesment'!L20</f>
        <v>0</v>
      </c>
      <c r="K16" s="54">
        <f>J16/J$3</f>
        <v>0</v>
      </c>
      <c r="L16" s="59">
        <f>J16/J$4</f>
        <v>0</v>
      </c>
    </row>
    <row r="17" spans="1:12" x14ac:dyDescent="0.3">
      <c r="A17" s="209"/>
      <c r="C17" t="s">
        <v>227</v>
      </c>
      <c r="D17" s="36"/>
      <c r="E17" s="33"/>
      <c r="F17" s="37"/>
      <c r="G17" s="36"/>
      <c r="H17" s="72"/>
      <c r="I17" s="73"/>
      <c r="J17" s="40">
        <f>'Payment+Assesment'!F26+'05-2026'!F10</f>
        <v>43228.4</v>
      </c>
      <c r="K17" s="54">
        <f>J17/J$3</f>
        <v>1.4575638664534808E-2</v>
      </c>
      <c r="L17" s="59">
        <f>J17/J$4</f>
        <v>3.9972111877972824E-2</v>
      </c>
    </row>
    <row r="18" spans="1:12" ht="15" thickBot="1" x14ac:dyDescent="0.35">
      <c r="A18" s="209"/>
      <c r="D18" s="41"/>
      <c r="E18" s="13"/>
      <c r="F18" s="42"/>
      <c r="G18" s="41"/>
      <c r="H18" s="70"/>
      <c r="I18" s="71"/>
      <c r="J18" s="41"/>
      <c r="K18" s="70"/>
      <c r="L18" s="71"/>
    </row>
    <row r="19" spans="1:12" s="45" customFormat="1" ht="15" thickBot="1" x14ac:dyDescent="0.35">
      <c r="A19" s="209"/>
      <c r="B19" s="163" t="s">
        <v>238</v>
      </c>
      <c r="C19" s="163"/>
      <c r="D19" s="49">
        <f>SUM(D20:D20)</f>
        <v>641988.9</v>
      </c>
      <c r="E19" s="53">
        <f>D19/$D$3</f>
        <v>0.11791586172087401</v>
      </c>
      <c r="F19" s="58">
        <f>D19/$D$4</f>
        <v>0.42216836523324219</v>
      </c>
      <c r="G19" s="49">
        <f t="shared" ref="G19" si="5">SUM(G20:G20)</f>
        <v>0</v>
      </c>
      <c r="H19" s="53">
        <f>G19/G$3</f>
        <v>0</v>
      </c>
      <c r="I19" s="58">
        <f>G19/G$4</f>
        <v>0</v>
      </c>
      <c r="J19" s="49">
        <f t="shared" ref="J19" si="6">SUM(J20:J20)</f>
        <v>0</v>
      </c>
      <c r="K19" s="53">
        <f>J19/J$3</f>
        <v>0</v>
      </c>
      <c r="L19" s="58">
        <f>J19/J$4</f>
        <v>0</v>
      </c>
    </row>
    <row r="20" spans="1:12" ht="15" thickBot="1" x14ac:dyDescent="0.35">
      <c r="A20" s="209"/>
      <c r="C20" t="s">
        <v>143</v>
      </c>
      <c r="D20" s="43">
        <f>'03-2026'!F40</f>
        <v>641988.9</v>
      </c>
      <c r="E20" s="54">
        <f>D20/$D$3</f>
        <v>0.11791586172087401</v>
      </c>
      <c r="F20" s="59">
        <f>D20/$D$4</f>
        <v>0.42216836523324219</v>
      </c>
      <c r="G20" s="43">
        <f>'03-2026'!I40</f>
        <v>0</v>
      </c>
      <c r="H20" s="54">
        <f>G20/G$3</f>
        <v>0</v>
      </c>
      <c r="I20" s="59">
        <f>G20/G$4</f>
        <v>0</v>
      </c>
      <c r="J20" s="43">
        <f>'03-2026'!L40</f>
        <v>0</v>
      </c>
      <c r="K20" s="54">
        <f>J20/J$3</f>
        <v>0</v>
      </c>
      <c r="L20" s="59">
        <f>J20/J$4</f>
        <v>0</v>
      </c>
    </row>
    <row r="21" spans="1:12" ht="15" thickBot="1" x14ac:dyDescent="0.35">
      <c r="A21" s="162" t="s">
        <v>234</v>
      </c>
      <c r="B21" s="163"/>
      <c r="C21" s="164"/>
      <c r="D21" s="38">
        <f>D19+D14+D6</f>
        <v>965146</v>
      </c>
      <c r="E21" s="54">
        <f>D21/$D$3</f>
        <v>0.17727101243721607</v>
      </c>
      <c r="F21" s="59">
        <f>D21/$D$4</f>
        <v>0.63467469458023773</v>
      </c>
      <c r="G21" s="38">
        <f>G19+G14+G6</f>
        <v>678231.02</v>
      </c>
      <c r="H21" s="54">
        <f>G21/G$3</f>
        <v>0.13603870286550757</v>
      </c>
      <c r="I21" s="59">
        <f>G21/G$4</f>
        <v>0.37514811090424149</v>
      </c>
      <c r="J21" s="38">
        <f>J19+J14+J6+J10</f>
        <v>499071.64000000007</v>
      </c>
      <c r="K21" s="54">
        <f>J21/J$3</f>
        <v>0.16827566813383787</v>
      </c>
      <c r="L21" s="59">
        <f>J21/J$4</f>
        <v>0.4614778115591458</v>
      </c>
    </row>
    <row r="22" spans="1:12" ht="14.4" customHeight="1" thickBot="1" x14ac:dyDescent="0.35">
      <c r="A22" s="205" t="s">
        <v>236</v>
      </c>
      <c r="B22" s="75"/>
      <c r="C22" s="75"/>
      <c r="D22" s="76"/>
      <c r="E22" s="77"/>
      <c r="F22" s="78"/>
      <c r="G22" s="76"/>
      <c r="H22" s="79"/>
      <c r="I22" s="80"/>
      <c r="J22" s="76"/>
      <c r="K22" s="79"/>
      <c r="L22" s="80"/>
    </row>
    <row r="23" spans="1:12" s="45" customFormat="1" ht="15" thickBot="1" x14ac:dyDescent="0.35">
      <c r="A23" s="206"/>
      <c r="B23" s="163" t="s">
        <v>4</v>
      </c>
      <c r="C23" s="163"/>
      <c r="D23" s="49">
        <f>SUM(D24:D30)</f>
        <v>1581977.6400000001</v>
      </c>
      <c r="E23" s="53">
        <f>D23/$D$3</f>
        <v>0.29056617122781192</v>
      </c>
      <c r="F23" s="58">
        <f>D23/$D$4</f>
        <v>1.0402997841774875</v>
      </c>
      <c r="G23" s="49">
        <f>SUM(G24:G30)</f>
        <v>988334.64999999991</v>
      </c>
      <c r="H23" s="53">
        <f>G23/G$3</f>
        <v>0.19823888884208718</v>
      </c>
      <c r="I23" s="58">
        <f>G23/G$4</f>
        <v>0.54667490273255959</v>
      </c>
      <c r="J23" s="49">
        <f>SUM(J24:J30)</f>
        <v>1299745.6400000001</v>
      </c>
      <c r="K23" s="53">
        <f>J23/J$3</f>
        <v>0.43824482989063995</v>
      </c>
      <c r="L23" s="58">
        <f>J23/J$4</f>
        <v>1.2018390256171265</v>
      </c>
    </row>
    <row r="24" spans="1:12" x14ac:dyDescent="0.3">
      <c r="A24" s="206"/>
      <c r="C24" t="s">
        <v>228</v>
      </c>
      <c r="D24" s="43">
        <f>'03-2026'!F22</f>
        <v>447958.1</v>
      </c>
      <c r="E24" s="54">
        <f>D24/$D$3</f>
        <v>8.2277692614849643E-2</v>
      </c>
      <c r="F24" s="59">
        <f>D24/$D$4</f>
        <v>0.29457477967296508</v>
      </c>
      <c r="G24" s="43">
        <f>'04-2026'!F17</f>
        <v>433242.74</v>
      </c>
      <c r="H24" s="54">
        <f>G24/G$3</f>
        <v>8.689926977314949E-2</v>
      </c>
      <c r="I24" s="59">
        <f>G24/G$4</f>
        <v>0.23963839854151386</v>
      </c>
      <c r="J24" s="43">
        <f>'05-2026'!F11</f>
        <v>443374.29</v>
      </c>
      <c r="K24" s="54">
        <f>J24/J$3</f>
        <v>0.14949578157379564</v>
      </c>
      <c r="L24" s="59">
        <f>J24/J$4</f>
        <v>0.40997600474911783</v>
      </c>
    </row>
    <row r="25" spans="1:12" x14ac:dyDescent="0.3">
      <c r="A25" s="206"/>
      <c r="C25" t="s">
        <v>229</v>
      </c>
      <c r="D25" s="39">
        <f>'03-2026'!F26</f>
        <v>452464.84</v>
      </c>
      <c r="E25" s="54">
        <f>D25/$D$3</f>
        <v>8.310545790900338E-2</v>
      </c>
      <c r="F25" s="59">
        <f>D25/$D$4</f>
        <v>0.29753838707853125</v>
      </c>
      <c r="G25" s="39">
        <f>'04-2026'!F31</f>
        <v>439322.47</v>
      </c>
      <c r="H25" s="54">
        <f t="shared" ref="H25:H29" si="7">G25/G$3</f>
        <v>8.8118734171832566E-2</v>
      </c>
      <c r="I25" s="59">
        <f t="shared" ref="I25:I29" si="8">G25/G$4</f>
        <v>0.24300126334281391</v>
      </c>
      <c r="J25" s="39">
        <f>'05-2026'!F27</f>
        <v>457938.76</v>
      </c>
      <c r="K25" s="54">
        <f t="shared" ref="K25:K29" si="9">J25/J$3</f>
        <v>0.15440659141317109</v>
      </c>
      <c r="L25" s="59">
        <f t="shared" ref="L25:L29" si="10">J25/J$4</f>
        <v>0.42344336935857319</v>
      </c>
    </row>
    <row r="26" spans="1:12" x14ac:dyDescent="0.3">
      <c r="A26" s="206"/>
      <c r="C26" t="s">
        <v>5</v>
      </c>
      <c r="D26" s="39">
        <f>'03-2026'!F4</f>
        <v>6435.06</v>
      </c>
      <c r="E26" s="54">
        <f t="shared" ref="E26:E29" si="11">D26/$D$3</f>
        <v>1.1819451163805597E-3</v>
      </c>
      <c r="F26" s="59">
        <f t="shared" ref="F26:F29" si="12">D26/$D$4</f>
        <v>4.2316600183863419E-3</v>
      </c>
      <c r="G26" s="39">
        <f>'03-2026'!I4</f>
        <v>0</v>
      </c>
      <c r="H26" s="54">
        <f t="shared" si="7"/>
        <v>0</v>
      </c>
      <c r="I26" s="59">
        <f t="shared" si="8"/>
        <v>0</v>
      </c>
      <c r="J26" s="39">
        <f>'03-2026'!L4</f>
        <v>0</v>
      </c>
      <c r="K26" s="54">
        <f t="shared" si="9"/>
        <v>0</v>
      </c>
      <c r="L26" s="59">
        <f t="shared" si="10"/>
        <v>0</v>
      </c>
    </row>
    <row r="27" spans="1:12" x14ac:dyDescent="0.3">
      <c r="A27" s="206"/>
      <c r="C27" t="s">
        <v>12</v>
      </c>
      <c r="D27" s="39">
        <f>'03-2026'!F6</f>
        <v>877</v>
      </c>
      <c r="E27" s="54">
        <f t="shared" si="11"/>
        <v>1.6108099490381609E-4</v>
      </c>
      <c r="F27" s="59">
        <f t="shared" si="12"/>
        <v>5.7671037039667419E-4</v>
      </c>
      <c r="G27" s="39">
        <f>'03-2026'!I6</f>
        <v>0</v>
      </c>
      <c r="H27" s="54">
        <f t="shared" si="7"/>
        <v>0</v>
      </c>
      <c r="I27" s="59">
        <f t="shared" si="8"/>
        <v>0</v>
      </c>
      <c r="J27" s="39">
        <f>'03-2026'!L6</f>
        <v>0</v>
      </c>
      <c r="K27" s="54">
        <f t="shared" si="9"/>
        <v>0</v>
      </c>
      <c r="L27" s="59">
        <f t="shared" si="10"/>
        <v>0</v>
      </c>
    </row>
    <row r="28" spans="1:12" x14ac:dyDescent="0.3">
      <c r="A28" s="206"/>
      <c r="C28" t="s">
        <v>53</v>
      </c>
      <c r="D28" s="39">
        <f>'03-2026'!F20+'03-2026'!F28+'03-2026'!F29</f>
        <v>329683</v>
      </c>
      <c r="E28" s="54">
        <f t="shared" si="11"/>
        <v>6.055378066462349E-2</v>
      </c>
      <c r="F28" s="59">
        <f t="shared" si="12"/>
        <v>0.21679772524912969</v>
      </c>
      <c r="G28" s="39">
        <f>'04-2026'!F12</f>
        <v>36614</v>
      </c>
      <c r="H28" s="54">
        <f t="shared" si="7"/>
        <v>7.3439888767070751E-3</v>
      </c>
      <c r="I28" s="59">
        <f t="shared" si="8"/>
        <v>2.0252203935832803E-2</v>
      </c>
      <c r="J28" s="39">
        <f>'05-2026'!F13</f>
        <v>35365</v>
      </c>
      <c r="K28" s="54">
        <f t="shared" si="9"/>
        <v>1.1924278052652271E-2</v>
      </c>
      <c r="L28" s="59">
        <f t="shared" si="10"/>
        <v>3.2701042290820589E-2</v>
      </c>
    </row>
    <row r="29" spans="1:12" x14ac:dyDescent="0.3">
      <c r="A29" s="206"/>
      <c r="C29" t="s">
        <v>55</v>
      </c>
      <c r="D29" s="39">
        <f>'03-2026'!F21</f>
        <v>344559.64</v>
      </c>
      <c r="E29" s="54">
        <f t="shared" si="11"/>
        <v>6.3286213928050977E-2</v>
      </c>
      <c r="F29" s="59">
        <f t="shared" si="12"/>
        <v>0.22658052178807836</v>
      </c>
      <c r="G29" s="39">
        <f>'04-2026'!F13</f>
        <v>79155.44</v>
      </c>
      <c r="H29" s="54">
        <f t="shared" si="7"/>
        <v>1.5876896020398053E-2</v>
      </c>
      <c r="I29" s="59">
        <f t="shared" si="8"/>
        <v>4.3783036912399015E-2</v>
      </c>
      <c r="J29" s="39">
        <f>'05-2026'!F14</f>
        <v>363067.59</v>
      </c>
      <c r="K29" s="54">
        <f t="shared" si="9"/>
        <v>0.12241817885102088</v>
      </c>
      <c r="L29" s="59">
        <f t="shared" si="10"/>
        <v>0.33571860921861479</v>
      </c>
    </row>
    <row r="30" spans="1:12" ht="15" thickBot="1" x14ac:dyDescent="0.35">
      <c r="A30" s="206"/>
      <c r="D30" s="41"/>
      <c r="E30" s="13"/>
      <c r="F30" s="42"/>
      <c r="G30" s="41"/>
      <c r="H30" s="70"/>
      <c r="I30" s="71"/>
      <c r="J30" s="41"/>
      <c r="K30" s="70"/>
      <c r="L30" s="71"/>
    </row>
    <row r="31" spans="1:12" s="45" customFormat="1" ht="15" thickBot="1" x14ac:dyDescent="0.35">
      <c r="A31" s="206"/>
      <c r="B31" s="163" t="s">
        <v>151</v>
      </c>
      <c r="C31" s="163"/>
      <c r="D31" s="49">
        <f>SUM(D32:D41)</f>
        <v>213619.19</v>
      </c>
      <c r="E31" s="53">
        <f>D31/$D$3</f>
        <v>3.9236022412482696E-2</v>
      </c>
      <c r="F31" s="58">
        <f>D31/$D$4</f>
        <v>0.14047480295181017</v>
      </c>
      <c r="G31" s="49">
        <f>SUM(G32:G41)</f>
        <v>230492.06</v>
      </c>
      <c r="H31" s="53">
        <f>G31/G$3</f>
        <v>4.6231799989329213E-2</v>
      </c>
      <c r="I31" s="58">
        <f>G31/G$4</f>
        <v>0.1274914569484408</v>
      </c>
      <c r="J31" s="49">
        <f>SUM(J32:J41)</f>
        <v>255749.33000000002</v>
      </c>
      <c r="K31" s="53">
        <f>J31/J$3</f>
        <v>8.6232889090895604E-2</v>
      </c>
      <c r="L31" s="58">
        <f>J31/J$4</f>
        <v>0.23648436748703611</v>
      </c>
    </row>
    <row r="32" spans="1:12" x14ac:dyDescent="0.3">
      <c r="A32" s="206"/>
      <c r="C32" t="s">
        <v>49</v>
      </c>
      <c r="D32" s="43">
        <f>'03-2026'!F18</f>
        <v>148048.48000000001</v>
      </c>
      <c r="E32" s="54">
        <f>D32/$D$3</f>
        <v>2.7192470299199224E-2</v>
      </c>
      <c r="F32" s="59">
        <f>D32/$D$4</f>
        <v>9.7355865151042886E-2</v>
      </c>
      <c r="G32" s="43">
        <f>'04-2026'!F15</f>
        <v>148048.48000000001</v>
      </c>
      <c r="H32" s="54">
        <f>G32/G$3</f>
        <v>2.9695373090440541E-2</v>
      </c>
      <c r="I32" s="59">
        <f>G32/G$4</f>
        <v>8.1889659948382168E-2</v>
      </c>
      <c r="J32" s="43">
        <f>'05-2026'!F8</f>
        <v>148048.48000000001</v>
      </c>
      <c r="K32" s="54">
        <f>J32/J$3</f>
        <v>4.9918598636859289E-2</v>
      </c>
      <c r="L32" s="59">
        <f>J32/J$4</f>
        <v>0.13689635531094888</v>
      </c>
    </row>
    <row r="33" spans="1:12" x14ac:dyDescent="0.3">
      <c r="A33" s="206"/>
      <c r="C33" t="s">
        <v>51</v>
      </c>
      <c r="D33" s="39">
        <f>'03-2026'!F19</f>
        <v>29609.7</v>
      </c>
      <c r="E33" s="54">
        <f>D33/$D$3</f>
        <v>5.4384947945308139E-3</v>
      </c>
      <c r="F33" s="59">
        <f>D33/$D$4</f>
        <v>1.9471175660586548E-2</v>
      </c>
      <c r="G33" s="39">
        <f>'04-2026'!F16</f>
        <v>29609.7</v>
      </c>
      <c r="H33" s="54">
        <f t="shared" ref="H33:H39" si="13">G33/G$3</f>
        <v>5.9390754204029471E-3</v>
      </c>
      <c r="I33" s="59">
        <f t="shared" ref="I33:I38" si="14">G33/G$4</f>
        <v>1.6377934202185737E-2</v>
      </c>
      <c r="J33" s="39">
        <f>'05-2026'!F9</f>
        <v>29609.7</v>
      </c>
      <c r="K33" s="54">
        <f t="shared" ref="K33:K40" si="15">J33/J$3</f>
        <v>9.9837210760813783E-3</v>
      </c>
      <c r="L33" s="59">
        <f t="shared" ref="L33:L37" si="16">J33/J$4</f>
        <v>2.7379274760879698E-2</v>
      </c>
    </row>
    <row r="34" spans="1:12" x14ac:dyDescent="0.3">
      <c r="A34" s="206"/>
      <c r="C34" t="s">
        <v>16</v>
      </c>
      <c r="D34" s="39">
        <f>'03-2026'!F7</f>
        <v>19258.04</v>
      </c>
      <c r="E34" s="54">
        <f t="shared" ref="E34:E37" si="17">D34/$D$3</f>
        <v>3.5371770160746714E-3</v>
      </c>
      <c r="F34" s="59">
        <f t="shared" ref="F34:F37" si="18">D34/$D$4</f>
        <v>1.2663981050757089E-2</v>
      </c>
      <c r="G34" s="39">
        <f>'04-2026'!F6</f>
        <v>22111.08</v>
      </c>
      <c r="H34" s="54">
        <f t="shared" si="13"/>
        <v>4.4350118963232725E-3</v>
      </c>
      <c r="I34" s="59">
        <f t="shared" si="14"/>
        <v>1.2230242568457804E-2</v>
      </c>
      <c r="J34" s="39">
        <f>'05-2026'!F17</f>
        <v>20684.560000000001</v>
      </c>
      <c r="K34" s="54">
        <f t="shared" si="15"/>
        <v>6.9743657524888756E-3</v>
      </c>
      <c r="L34" s="59">
        <f t="shared" si="16"/>
        <v>1.9126443413742852E-2</v>
      </c>
    </row>
    <row r="35" spans="1:12" x14ac:dyDescent="0.3">
      <c r="A35" s="206"/>
      <c r="C35" t="s">
        <v>35</v>
      </c>
      <c r="D35" s="39">
        <f>'03-2026'!F14+'03-2026'!F37</f>
        <v>2780.0200000000004</v>
      </c>
      <c r="E35" s="54">
        <f t="shared" si="17"/>
        <v>5.1061389675314357E-4</v>
      </c>
      <c r="F35" s="59">
        <f t="shared" si="18"/>
        <v>1.8281258425429446E-3</v>
      </c>
      <c r="G35" s="39">
        <f>'04-2026'!F5</f>
        <v>280.01</v>
      </c>
      <c r="H35" s="54">
        <f t="shared" si="13"/>
        <v>5.6164044501194843E-5</v>
      </c>
      <c r="I35" s="59">
        <f t="shared" si="14"/>
        <v>1.5488118271897479E-4</v>
      </c>
      <c r="J35" s="39">
        <f>'05-2026'!F3</f>
        <v>280.01</v>
      </c>
      <c r="K35" s="54">
        <f t="shared" si="15"/>
        <v>9.4413038244681529E-5</v>
      </c>
      <c r="L35" s="59">
        <f t="shared" si="16"/>
        <v>2.589175414068337E-4</v>
      </c>
    </row>
    <row r="36" spans="1:12" x14ac:dyDescent="0.3">
      <c r="A36" s="206"/>
      <c r="C36" t="s">
        <v>45</v>
      </c>
      <c r="D36" s="39">
        <f>'03-2026'!F17</f>
        <v>1946.99</v>
      </c>
      <c r="E36" s="54">
        <f t="shared" si="17"/>
        <v>3.5760899232358141E-4</v>
      </c>
      <c r="F36" s="59">
        <f t="shared" si="18"/>
        <v>1.2803299020052686E-3</v>
      </c>
      <c r="G36" s="39">
        <f>'04-2026'!F14</f>
        <v>1946.99</v>
      </c>
      <c r="H36" s="54">
        <f t="shared" si="13"/>
        <v>3.9052474198557677E-4</v>
      </c>
      <c r="I36" s="59">
        <f t="shared" si="14"/>
        <v>1.0769333736010028E-3</v>
      </c>
      <c r="J36" s="39">
        <f>'05-2026'!F12</f>
        <v>1946.99</v>
      </c>
      <c r="K36" s="54">
        <f t="shared" si="15"/>
        <v>6.5648098757905963E-4</v>
      </c>
      <c r="L36" s="59">
        <f t="shared" si="16"/>
        <v>1.8003280737962613E-3</v>
      </c>
    </row>
    <row r="37" spans="1:12" x14ac:dyDescent="0.3">
      <c r="A37" s="206"/>
      <c r="C37" t="s">
        <v>60</v>
      </c>
      <c r="D37" s="39">
        <f>'03-2026'!F27</f>
        <v>11975.96</v>
      </c>
      <c r="E37" s="54">
        <f t="shared" si="17"/>
        <v>2.1996574136012603E-3</v>
      </c>
      <c r="F37" s="59">
        <f t="shared" si="18"/>
        <v>7.875325344875431E-3</v>
      </c>
      <c r="G37" s="39">
        <f>'03-2026'!I27</f>
        <v>0</v>
      </c>
      <c r="H37" s="54">
        <f t="shared" si="13"/>
        <v>0</v>
      </c>
      <c r="I37" s="59">
        <f t="shared" si="14"/>
        <v>0</v>
      </c>
      <c r="J37" s="39">
        <f>'05-2026'!F18</f>
        <v>6053.59</v>
      </c>
      <c r="K37" s="54">
        <f t="shared" si="15"/>
        <v>2.0411336173266014E-3</v>
      </c>
      <c r="L37" s="59">
        <f t="shared" si="16"/>
        <v>5.5975880843005411E-3</v>
      </c>
    </row>
    <row r="38" spans="1:12" x14ac:dyDescent="0.3">
      <c r="A38" s="206"/>
      <c r="C38" t="s">
        <v>96</v>
      </c>
      <c r="D38" s="36"/>
      <c r="E38" s="33"/>
      <c r="F38" s="37"/>
      <c r="G38" s="39">
        <f>'04-2026'!F18</f>
        <v>8096.8</v>
      </c>
      <c r="H38" s="54">
        <f t="shared" si="13"/>
        <v>1.6240456966439571E-3</v>
      </c>
      <c r="I38" s="59">
        <f t="shared" si="14"/>
        <v>4.4785613379486281E-3</v>
      </c>
      <c r="J38" s="39">
        <f>'03-2026'!L28</f>
        <v>0</v>
      </c>
      <c r="K38" s="54">
        <f t="shared" si="15"/>
        <v>0</v>
      </c>
      <c r="L38" s="59">
        <f t="shared" ref="L38" si="19">J38/J$4</f>
        <v>0</v>
      </c>
    </row>
    <row r="39" spans="1:12" x14ac:dyDescent="0.3">
      <c r="A39" s="206"/>
      <c r="C39" t="s">
        <v>86</v>
      </c>
      <c r="D39" s="36"/>
      <c r="E39" s="33"/>
      <c r="F39" s="37"/>
      <c r="G39" s="39">
        <f>'04-2026'!F11</f>
        <v>20399</v>
      </c>
      <c r="H39" s="54">
        <f t="shared" si="13"/>
        <v>4.0916050990317263E-3</v>
      </c>
      <c r="I39" s="59">
        <f t="shared" ref="I39" si="20">G39/G$4</f>
        <v>1.1283244335146485E-2</v>
      </c>
      <c r="J39" s="39">
        <f>'03-2026'!L29</f>
        <v>0</v>
      </c>
      <c r="K39" s="54">
        <f t="shared" si="15"/>
        <v>0</v>
      </c>
      <c r="L39" s="59">
        <f t="shared" ref="L39:L40" si="21">J39/J$4</f>
        <v>0</v>
      </c>
    </row>
    <row r="40" spans="1:12" x14ac:dyDescent="0.3">
      <c r="A40" s="206"/>
      <c r="C40" t="s">
        <v>114</v>
      </c>
      <c r="D40" s="36"/>
      <c r="E40" s="33"/>
      <c r="F40" s="37"/>
      <c r="G40" s="36"/>
      <c r="H40" s="72"/>
      <c r="I40" s="73"/>
      <c r="J40" s="39">
        <f>'05-2026'!F2</f>
        <v>49126</v>
      </c>
      <c r="K40" s="54">
        <f t="shared" si="15"/>
        <v>1.6564175982315722E-2</v>
      </c>
      <c r="L40" s="59">
        <f t="shared" si="21"/>
        <v>4.5425460301961047E-2</v>
      </c>
    </row>
    <row r="41" spans="1:12" ht="15" thickBot="1" x14ac:dyDescent="0.35">
      <c r="A41" s="206"/>
      <c r="D41" s="41"/>
      <c r="E41" s="13"/>
      <c r="F41" s="42"/>
      <c r="G41" s="41"/>
      <c r="H41" s="70"/>
      <c r="I41" s="71"/>
      <c r="J41" s="41"/>
      <c r="K41" s="70"/>
      <c r="L41" s="71"/>
    </row>
    <row r="42" spans="1:12" s="45" customFormat="1" ht="15" thickBot="1" x14ac:dyDescent="0.35">
      <c r="A42" s="206"/>
      <c r="B42" s="163" t="s">
        <v>152</v>
      </c>
      <c r="C42" s="163"/>
      <c r="D42" s="49">
        <f>SUM(D43:D48)</f>
        <v>1705089.1799999997</v>
      </c>
      <c r="E42" s="53">
        <f>D42/$D$3</f>
        <v>0.31317840537529296</v>
      </c>
      <c r="F42" s="58">
        <f>D42/$D$4</f>
        <v>1.1212572549112443</v>
      </c>
      <c r="G42" s="49">
        <f>SUM(G43:G48)</f>
        <v>2590555.58</v>
      </c>
      <c r="H42" s="53">
        <f>G42/G$3</f>
        <v>0.5196102956249371</v>
      </c>
      <c r="I42" s="58">
        <f>G42/G$4</f>
        <v>1.4329070823529151</v>
      </c>
      <c r="J42" s="49">
        <f>SUM(J43:J48)</f>
        <v>1719281.31</v>
      </c>
      <c r="K42" s="53">
        <f>J42/J$3</f>
        <v>0.57970276802398546</v>
      </c>
      <c r="L42" s="58">
        <f>J42/J$4</f>
        <v>1.5897721144670558</v>
      </c>
    </row>
    <row r="43" spans="1:12" x14ac:dyDescent="0.3">
      <c r="A43" s="206"/>
      <c r="C43" t="s">
        <v>22</v>
      </c>
      <c r="D43" s="43">
        <f>'03-2026'!F9</f>
        <v>101500</v>
      </c>
      <c r="E43" s="54">
        <f>D43/$D$3</f>
        <v>1.8642783332653744E-2</v>
      </c>
      <c r="F43" s="59">
        <f>D43/$D$4</f>
        <v>6.6745841043628767E-2</v>
      </c>
      <c r="G43" s="43">
        <f>'04-2026'!F3</f>
        <v>101500</v>
      </c>
      <c r="H43" s="54">
        <f>G43/G$3</f>
        <v>2.0358739033860495E-2</v>
      </c>
      <c r="I43" s="59">
        <f>G43/G$4</f>
        <v>5.6142423649069476E-2</v>
      </c>
      <c r="J43" s="43">
        <f>'05-2026'!F4</f>
        <v>101500</v>
      </c>
      <c r="K43" s="54">
        <f>J43/J$3</f>
        <v>3.4223504095693635E-2</v>
      </c>
      <c r="L43" s="59">
        <f>J43/J$4</f>
        <v>9.385425682223357E-2</v>
      </c>
    </row>
    <row r="44" spans="1:12" x14ac:dyDescent="0.3">
      <c r="A44" s="206"/>
      <c r="C44" t="s">
        <v>25</v>
      </c>
      <c r="D44" s="39">
        <f>'03-2026'!F10</f>
        <v>143953.31</v>
      </c>
      <c r="E44" s="54">
        <f>D44/$D$3</f>
        <v>2.6440299195550122E-2</v>
      </c>
      <c r="F44" s="59">
        <f>D44/$D$4</f>
        <v>9.4662903910977481E-2</v>
      </c>
      <c r="G44" s="39">
        <f>'04-2026'!F26+'04-2026'!F24</f>
        <v>250116.98</v>
      </c>
      <c r="H44" s="54">
        <f t="shared" ref="H44:H47" si="22">G44/G$3</f>
        <v>5.0168141120761622E-2</v>
      </c>
      <c r="I44" s="59">
        <f t="shared" ref="I44:I47" si="23">G44/G$4</f>
        <v>0.13834653648261908</v>
      </c>
      <c r="J44" s="39">
        <f>'05-2026'!F25</f>
        <v>304217.56</v>
      </c>
      <c r="K44" s="54">
        <f t="shared" ref="K44:K47" si="24">J44/J$3</f>
        <v>0.10257527990780221</v>
      </c>
      <c r="L44" s="59">
        <f t="shared" ref="L44:L47" si="25">J44/J$4</f>
        <v>0.28130160597116499</v>
      </c>
    </row>
    <row r="45" spans="1:12" x14ac:dyDescent="0.3">
      <c r="A45" s="206"/>
      <c r="C45" t="s">
        <v>8</v>
      </c>
      <c r="D45" s="39">
        <f>'03-2026'!F5</f>
        <v>32400</v>
      </c>
      <c r="E45" s="54">
        <f t="shared" ref="E45:E47" si="26">D45/$D$3</f>
        <v>5.9509968470737072E-3</v>
      </c>
      <c r="F45" s="59">
        <f t="shared" ref="F45:F47" si="27">D45/$D$4</f>
        <v>2.1306061574517952E-2</v>
      </c>
      <c r="G45" s="39">
        <f>'04-2026'!F4</f>
        <v>32400</v>
      </c>
      <c r="H45" s="54">
        <f t="shared" si="22"/>
        <v>6.498750194059902E-3</v>
      </c>
      <c r="I45" s="59">
        <f t="shared" si="23"/>
        <v>1.7921325381574885E-2</v>
      </c>
      <c r="J45" s="39">
        <f>'03-2026'!L5</f>
        <v>0</v>
      </c>
      <c r="K45" s="54">
        <f t="shared" si="24"/>
        <v>0</v>
      </c>
      <c r="L45" s="59">
        <f t="shared" si="25"/>
        <v>0</v>
      </c>
    </row>
    <row r="46" spans="1:12" x14ac:dyDescent="0.3">
      <c r="A46" s="206"/>
      <c r="C46" t="s">
        <v>231</v>
      </c>
      <c r="D46" s="39">
        <f>'03-2026'!F12+'03-2026'!F13+'03-2026'!F35+'03-2026'!F36</f>
        <v>891256.70999999985</v>
      </c>
      <c r="E46" s="54">
        <f t="shared" si="26"/>
        <v>0.16369956392417545</v>
      </c>
      <c r="F46" s="59">
        <f t="shared" si="27"/>
        <v>0.58608550438155205</v>
      </c>
      <c r="G46" s="39">
        <f>'04-2026'!F28+'04-2026'!F27+'04-2026'!F23+'04-2026'!F33</f>
        <v>1671065.2</v>
      </c>
      <c r="H46" s="54">
        <f t="shared" si="22"/>
        <v>0.33518010162922063</v>
      </c>
      <c r="I46" s="59">
        <f t="shared" si="23"/>
        <v>0.92431182663662081</v>
      </c>
      <c r="J46" s="39">
        <f>'05-2026'!F15+'05-2026'!F16+'05-2026'!F21+'05-2026'!F22</f>
        <v>900000</v>
      </c>
      <c r="K46" s="54">
        <f t="shared" si="24"/>
        <v>0.30345964222782534</v>
      </c>
      <c r="L46" s="59">
        <f t="shared" si="25"/>
        <v>0.8322052329065045</v>
      </c>
    </row>
    <row r="47" spans="1:12" x14ac:dyDescent="0.3">
      <c r="A47" s="206"/>
      <c r="C47" t="s">
        <v>67</v>
      </c>
      <c r="D47" s="39">
        <f>'03-2026'!F38</f>
        <v>535979.16</v>
      </c>
      <c r="E47" s="54">
        <f t="shared" si="26"/>
        <v>9.8444762075839951E-2</v>
      </c>
      <c r="F47" s="59">
        <f t="shared" si="27"/>
        <v>0.35245694400056821</v>
      </c>
      <c r="G47" s="39">
        <f>'04-2026'!F32</f>
        <v>535473.4</v>
      </c>
      <c r="H47" s="54">
        <f t="shared" si="22"/>
        <v>0.10740456364703443</v>
      </c>
      <c r="I47" s="59">
        <f t="shared" si="23"/>
        <v>0.29618497020303092</v>
      </c>
      <c r="J47" s="39">
        <f>'05-2026'!F26</f>
        <v>413563.75</v>
      </c>
      <c r="K47" s="54">
        <f t="shared" si="24"/>
        <v>0.13944434179266424</v>
      </c>
      <c r="L47" s="59">
        <f t="shared" si="25"/>
        <v>0.38241101876715267</v>
      </c>
    </row>
    <row r="48" spans="1:12" ht="15" thickBot="1" x14ac:dyDescent="0.35">
      <c r="A48" s="206"/>
      <c r="D48" s="41"/>
      <c r="E48" s="13"/>
      <c r="F48" s="42"/>
      <c r="G48" s="41"/>
      <c r="H48" s="70"/>
      <c r="I48" s="71"/>
      <c r="J48" s="41"/>
      <c r="K48" s="70"/>
      <c r="L48" s="71"/>
    </row>
    <row r="49" spans="1:12" s="45" customFormat="1" ht="15" thickBot="1" x14ac:dyDescent="0.35">
      <c r="A49" s="206"/>
      <c r="B49" s="163" t="s">
        <v>153</v>
      </c>
      <c r="C49" s="163"/>
      <c r="D49" s="49">
        <f>SUM(D50:D51)</f>
        <v>14068.85</v>
      </c>
      <c r="E49" s="53">
        <f>D49/$D$3</f>
        <v>2.5840642590108931E-3</v>
      </c>
      <c r="F49" s="58">
        <f>D49/$D$4</f>
        <v>9.2515982834153361E-3</v>
      </c>
      <c r="G49" s="49">
        <f t="shared" ref="G49" si="28">SUM(G50:G51)</f>
        <v>0</v>
      </c>
      <c r="H49" s="53">
        <f>G49/G$3</f>
        <v>0</v>
      </c>
      <c r="I49" s="58">
        <f>G49/G$4</f>
        <v>0</v>
      </c>
      <c r="J49" s="49">
        <f>SUM(J50:J51)</f>
        <v>251348</v>
      </c>
      <c r="K49" s="53">
        <f t="shared" ref="K49:K54" si="29">J49/J$3</f>
        <v>8.4748860171866058E-2</v>
      </c>
      <c r="L49" s="58">
        <f t="shared" ref="L49:L54" si="30">J49/J$4</f>
        <v>0.23241457875620455</v>
      </c>
    </row>
    <row r="50" spans="1:12" x14ac:dyDescent="0.3">
      <c r="A50" s="206"/>
      <c r="C50" t="s">
        <v>63</v>
      </c>
      <c r="D50" s="43">
        <f>'03-2026'!F30</f>
        <v>14068.85</v>
      </c>
      <c r="E50" s="54">
        <f>D50/$D$3</f>
        <v>2.5840642590108931E-3</v>
      </c>
      <c r="F50" s="59">
        <f>D50/$D$4</f>
        <v>9.2515982834153361E-3</v>
      </c>
      <c r="G50" s="43">
        <f>'03-2026'!I30</f>
        <v>0</v>
      </c>
      <c r="H50" s="54">
        <f>G50/G$3</f>
        <v>0</v>
      </c>
      <c r="I50" s="59">
        <f>G50/G$4</f>
        <v>0</v>
      </c>
      <c r="J50" s="43">
        <f>'03-2026'!L30</f>
        <v>0</v>
      </c>
      <c r="K50" s="54">
        <f t="shared" si="29"/>
        <v>0</v>
      </c>
      <c r="L50" s="59">
        <f t="shared" si="30"/>
        <v>0</v>
      </c>
    </row>
    <row r="51" spans="1:12" ht="15" thickBot="1" x14ac:dyDescent="0.35">
      <c r="A51" s="206"/>
      <c r="C51" t="s">
        <v>134</v>
      </c>
      <c r="D51" s="41"/>
      <c r="E51" s="13"/>
      <c r="F51" s="42"/>
      <c r="G51" s="41"/>
      <c r="H51" s="70"/>
      <c r="I51" s="71"/>
      <c r="J51" s="43">
        <f>'05-2026'!F24+'05-2026'!F28</f>
        <v>251348</v>
      </c>
      <c r="K51" s="54">
        <f t="shared" si="29"/>
        <v>8.4748860171866058E-2</v>
      </c>
      <c r="L51" s="59">
        <f t="shared" si="30"/>
        <v>0.23241457875620455</v>
      </c>
    </row>
    <row r="52" spans="1:12" s="45" customFormat="1" ht="15" thickBot="1" x14ac:dyDescent="0.35">
      <c r="A52" s="206"/>
      <c r="B52" s="163" t="s">
        <v>154</v>
      </c>
      <c r="C52" s="163"/>
      <c r="D52" s="49">
        <f>SUM(D53:D55)</f>
        <v>110584.91</v>
      </c>
      <c r="E52" s="53">
        <f>D52/$D$3</f>
        <v>2.0311433664936103E-2</v>
      </c>
      <c r="F52" s="58">
        <f>D52/$D$4</f>
        <v>7.2720027829398945E-2</v>
      </c>
      <c r="G52" s="49">
        <f>SUM(G53:G55)</f>
        <v>239750.96</v>
      </c>
      <c r="H52" s="53">
        <f>G52/G$3</f>
        <v>4.8088938204507645E-2</v>
      </c>
      <c r="I52" s="58">
        <f>G52/G$4</f>
        <v>0.13261280755262175</v>
      </c>
      <c r="J52" s="49">
        <f>SUM(J53:J55)</f>
        <v>63988.12</v>
      </c>
      <c r="K52" s="53">
        <f t="shared" si="29"/>
        <v>2.1575346668923509E-2</v>
      </c>
      <c r="L52" s="58">
        <f t="shared" si="30"/>
        <v>5.9168053675388181E-2</v>
      </c>
    </row>
    <row r="53" spans="1:12" x14ac:dyDescent="0.3">
      <c r="A53" s="206"/>
      <c r="C53" t="s">
        <v>38</v>
      </c>
      <c r="D53" s="43">
        <f>'03-2026'!F15</f>
        <v>64759.11</v>
      </c>
      <c r="E53" s="54">
        <f>D53/$D$3</f>
        <v>1.1894483315719117E-2</v>
      </c>
      <c r="F53" s="59">
        <f>D53/$D$4</f>
        <v>4.2585234110215468E-2</v>
      </c>
      <c r="G53" s="43">
        <f>'04-2026'!F8</f>
        <v>65083.96</v>
      </c>
      <c r="H53" s="54">
        <f>G53/G$3</f>
        <v>1.3054456718524286E-2</v>
      </c>
      <c r="I53" s="59">
        <f>G53/G$4</f>
        <v>3.5999716798808784E-2</v>
      </c>
      <c r="J53" s="43">
        <f>'05-2026'!F6</f>
        <v>63988.12</v>
      </c>
      <c r="K53" s="54">
        <f t="shared" si="29"/>
        <v>2.1575346668923509E-2</v>
      </c>
      <c r="L53" s="59">
        <f t="shared" si="30"/>
        <v>5.9168053675388181E-2</v>
      </c>
    </row>
    <row r="54" spans="1:12" x14ac:dyDescent="0.3">
      <c r="A54" s="206"/>
      <c r="C54" t="s">
        <v>69</v>
      </c>
      <c r="D54" s="39">
        <f>'03-2026'!F39</f>
        <v>45825.8</v>
      </c>
      <c r="E54" s="54">
        <f t="shared" ref="E54" si="31">D54/$D$3</f>
        <v>8.4169503492169846E-3</v>
      </c>
      <c r="F54" s="59">
        <f t="shared" ref="F54" si="32">D54/$D$4</f>
        <v>3.013479371918348E-2</v>
      </c>
      <c r="G54" s="39">
        <f>'04-2026'!F30+'04-2026'!F29+'04-2026'!F9</f>
        <v>174667</v>
      </c>
      <c r="H54" s="54">
        <f>G54/G$3</f>
        <v>3.5034481485983357E-2</v>
      </c>
      <c r="I54" s="59">
        <f>G54/G$4</f>
        <v>9.6613090753812983E-2</v>
      </c>
      <c r="J54" s="39">
        <f>'03-2026'!L39</f>
        <v>0</v>
      </c>
      <c r="K54" s="54">
        <f t="shared" si="29"/>
        <v>0</v>
      </c>
      <c r="L54" s="59">
        <f t="shared" si="30"/>
        <v>0</v>
      </c>
    </row>
    <row r="55" spans="1:12" ht="15" thickBot="1" x14ac:dyDescent="0.35">
      <c r="A55" s="207"/>
      <c r="D55" s="41"/>
      <c r="E55" s="13"/>
      <c r="F55" s="42"/>
      <c r="G55" s="41"/>
      <c r="H55" s="70"/>
      <c r="I55" s="71"/>
      <c r="J55" s="41"/>
      <c r="K55" s="70"/>
      <c r="L55" s="71"/>
    </row>
    <row r="56" spans="1:12" s="45" customFormat="1" ht="15" thickBot="1" x14ac:dyDescent="0.35">
      <c r="A56" s="162" t="s">
        <v>237</v>
      </c>
      <c r="B56" s="163"/>
      <c r="C56" s="163"/>
      <c r="D56" s="49">
        <f>D52+D49+D42+D31+D23</f>
        <v>3625339.7699999996</v>
      </c>
      <c r="E56" s="53">
        <f>D56/$D$3</f>
        <v>0.66587609693953453</v>
      </c>
      <c r="F56" s="58">
        <f>D56/$D$4</f>
        <v>2.384003468153356</v>
      </c>
      <c r="G56" s="49">
        <f t="shared" ref="G56" si="33">G52+G49+G42+G31+G23</f>
        <v>4049133.25</v>
      </c>
      <c r="H56" s="53">
        <f>G56/G$3</f>
        <v>0.81216992266086108</v>
      </c>
      <c r="I56" s="58">
        <f>G56/G$4</f>
        <v>2.2396862495865375</v>
      </c>
      <c r="J56" s="49">
        <f t="shared" ref="J56" si="34">J52+J49+J42+J31+J23</f>
        <v>3590112.4000000004</v>
      </c>
      <c r="K56" s="53">
        <f>J56/J$3</f>
        <v>1.2105046938463107</v>
      </c>
      <c r="L56" s="58">
        <f>J56/J$4</f>
        <v>3.3196781400028113</v>
      </c>
    </row>
    <row r="57" spans="1:12" s="50" customFormat="1" x14ac:dyDescent="0.3">
      <c r="A57" s="165" t="s">
        <v>240</v>
      </c>
      <c r="B57" s="166"/>
      <c r="C57" s="166"/>
      <c r="D57" s="181">
        <f>D56+D21</f>
        <v>4590485.7699999996</v>
      </c>
      <c r="E57" s="159">
        <f t="shared" ref="E57" si="35">D57/$D$3</f>
        <v>0.84314710937675053</v>
      </c>
      <c r="F57" s="170">
        <f t="shared" ref="F57" si="36">D57/$D$4</f>
        <v>3.0186781627335937</v>
      </c>
      <c r="G57" s="181">
        <f t="shared" ref="G57" si="37">G56+G21</f>
        <v>4727364.2699999996</v>
      </c>
      <c r="H57" s="159">
        <f>G57/G$3</f>
        <v>0.94820862552636864</v>
      </c>
      <c r="I57" s="170">
        <f>G57/G$4</f>
        <v>2.6148343604907787</v>
      </c>
      <c r="J57" s="181">
        <f t="shared" ref="J57" si="38">J56+J21</f>
        <v>4089184.0400000005</v>
      </c>
      <c r="K57" s="159">
        <f>J57/J$3</f>
        <v>1.3787803619801484</v>
      </c>
      <c r="L57" s="170">
        <f>J57/J$4</f>
        <v>3.7811559515619573</v>
      </c>
    </row>
    <row r="58" spans="1:12" s="32" customFormat="1" ht="15" thickBot="1" x14ac:dyDescent="0.35">
      <c r="A58" s="168"/>
      <c r="B58" s="161"/>
      <c r="C58" s="161"/>
      <c r="D58" s="182"/>
      <c r="E58" s="160"/>
      <c r="F58" s="171"/>
      <c r="G58" s="182"/>
      <c r="H58" s="160"/>
      <c r="I58" s="171"/>
      <c r="J58" s="182"/>
      <c r="K58" s="160"/>
      <c r="L58" s="171"/>
    </row>
  </sheetData>
  <mergeCells count="35">
    <mergeCell ref="A6:A20"/>
    <mergeCell ref="A21:C21"/>
    <mergeCell ref="D4:F4"/>
    <mergeCell ref="D3:F3"/>
    <mergeCell ref="D2:F2"/>
    <mergeCell ref="A22:A55"/>
    <mergeCell ref="A56:C56"/>
    <mergeCell ref="A57:C58"/>
    <mergeCell ref="D57:D58"/>
    <mergeCell ref="B23:C23"/>
    <mergeCell ref="B31:C31"/>
    <mergeCell ref="B42:C42"/>
    <mergeCell ref="B49:C49"/>
    <mergeCell ref="B52:C52"/>
    <mergeCell ref="E57:E58"/>
    <mergeCell ref="F57:F58"/>
    <mergeCell ref="B2:C2"/>
    <mergeCell ref="B3:C3"/>
    <mergeCell ref="B4:C4"/>
    <mergeCell ref="B6:C6"/>
    <mergeCell ref="B10:C10"/>
    <mergeCell ref="B14:C14"/>
    <mergeCell ref="B19:C19"/>
    <mergeCell ref="G57:G58"/>
    <mergeCell ref="H57:H58"/>
    <mergeCell ref="I57:I58"/>
    <mergeCell ref="G2:I2"/>
    <mergeCell ref="G3:I3"/>
    <mergeCell ref="G4:I4"/>
    <mergeCell ref="L57:L58"/>
    <mergeCell ref="J2:L2"/>
    <mergeCell ref="J3:L3"/>
    <mergeCell ref="J4:L4"/>
    <mergeCell ref="J57:J58"/>
    <mergeCell ref="K57:K5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7F6F-58DF-49BB-AE7F-616FF51A968D}">
  <dimension ref="B1:D38"/>
  <sheetViews>
    <sheetView topLeftCell="A6" workbookViewId="0">
      <selection activeCell="D12" sqref="D12"/>
    </sheetView>
  </sheetViews>
  <sheetFormatPr defaultRowHeight="14.4" x14ac:dyDescent="0.3"/>
  <cols>
    <col min="2" max="2" width="22.88671875" customWidth="1"/>
    <col min="3" max="3" width="49.88671875" customWidth="1"/>
    <col min="4" max="4" width="55.5546875" customWidth="1"/>
  </cols>
  <sheetData>
    <row r="1" spans="2:4" ht="15" thickBot="1" x14ac:dyDescent="0.35"/>
    <row r="2" spans="2:4" ht="15" thickBot="1" x14ac:dyDescent="0.35">
      <c r="B2" s="10" t="s">
        <v>155</v>
      </c>
      <c r="C2" s="10" t="s">
        <v>156</v>
      </c>
      <c r="D2" s="10" t="s">
        <v>157</v>
      </c>
    </row>
    <row r="3" spans="2:4" ht="15" thickBot="1" x14ac:dyDescent="0.35">
      <c r="B3" s="11" t="s">
        <v>143</v>
      </c>
      <c r="C3" s="12" t="s">
        <v>158</v>
      </c>
      <c r="D3" s="12" t="s">
        <v>201</v>
      </c>
    </row>
    <row r="4" spans="2:4" ht="15" thickBot="1" x14ac:dyDescent="0.35">
      <c r="B4" s="11" t="s">
        <v>83</v>
      </c>
      <c r="C4" s="12" t="s">
        <v>211</v>
      </c>
      <c r="D4" s="12" t="s">
        <v>202</v>
      </c>
    </row>
    <row r="5" spans="2:4" ht="28.2" thickBot="1" x14ac:dyDescent="0.35">
      <c r="B5" s="11" t="s">
        <v>41</v>
      </c>
      <c r="C5" s="12" t="s">
        <v>159</v>
      </c>
      <c r="D5" s="12" t="s">
        <v>160</v>
      </c>
    </row>
    <row r="6" spans="2:4" ht="28.2" thickBot="1" x14ac:dyDescent="0.35">
      <c r="B6" s="11" t="s">
        <v>127</v>
      </c>
      <c r="C6" s="12" t="s">
        <v>159</v>
      </c>
      <c r="D6" s="12" t="s">
        <v>161</v>
      </c>
    </row>
    <row r="7" spans="2:4" ht="15" thickBot="1" x14ac:dyDescent="0.35">
      <c r="B7" s="11" t="s">
        <v>112</v>
      </c>
      <c r="C7" s="12" t="s">
        <v>203</v>
      </c>
      <c r="D7" s="12" t="s">
        <v>204</v>
      </c>
    </row>
    <row r="8" spans="2:4" ht="28.2" thickBot="1" x14ac:dyDescent="0.35">
      <c r="B8" s="11" t="s">
        <v>19</v>
      </c>
      <c r="C8" s="12" t="s">
        <v>162</v>
      </c>
      <c r="D8" s="12" t="s">
        <v>163</v>
      </c>
    </row>
    <row r="9" spans="2:4" ht="28.2" thickBot="1" x14ac:dyDescent="0.35">
      <c r="B9" s="11" t="s">
        <v>38</v>
      </c>
      <c r="C9" s="12" t="s">
        <v>164</v>
      </c>
      <c r="D9" s="12" t="s">
        <v>165</v>
      </c>
    </row>
    <row r="10" spans="2:4" ht="28.2" thickBot="1" x14ac:dyDescent="0.35">
      <c r="B10" s="11" t="s">
        <v>69</v>
      </c>
      <c r="C10" s="12" t="s">
        <v>166</v>
      </c>
      <c r="D10" s="12" t="s">
        <v>167</v>
      </c>
    </row>
    <row r="11" spans="2:4" ht="28.2" thickBot="1" x14ac:dyDescent="0.35">
      <c r="B11" s="11" t="s">
        <v>168</v>
      </c>
      <c r="C11" s="12" t="s">
        <v>150</v>
      </c>
      <c r="D11" s="12" t="s">
        <v>169</v>
      </c>
    </row>
    <row r="12" spans="2:4" ht="15" thickBot="1" x14ac:dyDescent="0.35">
      <c r="B12" s="11" t="s">
        <v>103</v>
      </c>
      <c r="C12" s="12" t="s">
        <v>150</v>
      </c>
      <c r="D12" s="12" t="s">
        <v>170</v>
      </c>
    </row>
    <row r="13" spans="2:4" ht="15" thickBot="1" x14ac:dyDescent="0.35">
      <c r="B13" s="11" t="s">
        <v>53</v>
      </c>
      <c r="C13" s="12" t="s">
        <v>171</v>
      </c>
      <c r="D13" s="12" t="s">
        <v>172</v>
      </c>
    </row>
    <row r="14" spans="2:4" ht="15" thickBot="1" x14ac:dyDescent="0.35">
      <c r="B14" s="11" t="s">
        <v>55</v>
      </c>
      <c r="C14" s="12" t="s">
        <v>173</v>
      </c>
      <c r="D14" s="12" t="s">
        <v>174</v>
      </c>
    </row>
    <row r="15" spans="2:4" ht="28.2" thickBot="1" x14ac:dyDescent="0.35">
      <c r="B15" s="11" t="s">
        <v>12</v>
      </c>
      <c r="C15" s="12" t="s">
        <v>175</v>
      </c>
      <c r="D15" s="12" t="s">
        <v>176</v>
      </c>
    </row>
    <row r="16" spans="2:4" ht="15" thickBot="1" x14ac:dyDescent="0.35">
      <c r="B16" s="11" t="s">
        <v>4</v>
      </c>
      <c r="C16" s="12" t="s">
        <v>4</v>
      </c>
      <c r="D16" s="12" t="s">
        <v>177</v>
      </c>
    </row>
    <row r="17" spans="2:4" ht="28.2" thickBot="1" x14ac:dyDescent="0.35">
      <c r="B17" s="11" t="s">
        <v>205</v>
      </c>
      <c r="C17" s="12" t="s">
        <v>206</v>
      </c>
      <c r="D17" s="12" t="s">
        <v>207</v>
      </c>
    </row>
    <row r="18" spans="2:4" ht="15" thickBot="1" x14ac:dyDescent="0.35">
      <c r="B18" s="11" t="s">
        <v>25</v>
      </c>
      <c r="C18" s="12" t="s">
        <v>152</v>
      </c>
      <c r="D18" s="12" t="s">
        <v>178</v>
      </c>
    </row>
    <row r="19" spans="2:4" ht="28.2" thickBot="1" x14ac:dyDescent="0.35">
      <c r="B19" s="11" t="s">
        <v>67</v>
      </c>
      <c r="C19" s="12" t="s">
        <v>152</v>
      </c>
      <c r="D19" s="12" t="s">
        <v>179</v>
      </c>
    </row>
    <row r="20" spans="2:4" ht="15" thickBot="1" x14ac:dyDescent="0.35">
      <c r="B20" s="11" t="s">
        <v>22</v>
      </c>
      <c r="C20" s="12" t="s">
        <v>152</v>
      </c>
      <c r="D20" s="12" t="s">
        <v>180</v>
      </c>
    </row>
    <row r="21" spans="2:4" ht="28.2" thickBot="1" x14ac:dyDescent="0.35">
      <c r="B21" s="11" t="s">
        <v>8</v>
      </c>
      <c r="C21" s="12" t="s">
        <v>152</v>
      </c>
      <c r="D21" s="12" t="s">
        <v>208</v>
      </c>
    </row>
    <row r="22" spans="2:4" ht="28.2" thickBot="1" x14ac:dyDescent="0.35">
      <c r="B22" s="11" t="s">
        <v>32</v>
      </c>
      <c r="C22" s="12" t="s">
        <v>181</v>
      </c>
      <c r="D22" s="12" t="s">
        <v>182</v>
      </c>
    </row>
    <row r="23" spans="2:4" ht="28.2" thickBot="1" x14ac:dyDescent="0.35">
      <c r="B23" s="11" t="s">
        <v>63</v>
      </c>
      <c r="C23" s="12" t="s">
        <v>183</v>
      </c>
      <c r="D23" s="12" t="s">
        <v>184</v>
      </c>
    </row>
    <row r="24" spans="2:4" ht="28.2" thickBot="1" x14ac:dyDescent="0.35">
      <c r="B24" s="11" t="s">
        <v>185</v>
      </c>
      <c r="C24" s="12" t="s">
        <v>186</v>
      </c>
      <c r="D24" s="12" t="s">
        <v>187</v>
      </c>
    </row>
    <row r="25" spans="2:4" ht="15" thickBot="1" x14ac:dyDescent="0.35">
      <c r="B25" s="11" t="s">
        <v>16</v>
      </c>
      <c r="C25" s="12" t="s">
        <v>186</v>
      </c>
      <c r="D25" s="12" t="s">
        <v>188</v>
      </c>
    </row>
    <row r="26" spans="2:4" ht="15" thickBot="1" x14ac:dyDescent="0.35">
      <c r="B26" s="11" t="s">
        <v>45</v>
      </c>
      <c r="C26" s="12" t="s">
        <v>189</v>
      </c>
      <c r="D26" s="12" t="s">
        <v>209</v>
      </c>
    </row>
    <row r="27" spans="2:4" ht="15" thickBot="1" x14ac:dyDescent="0.35">
      <c r="B27" s="11" t="s">
        <v>35</v>
      </c>
      <c r="C27" s="12" t="s">
        <v>190</v>
      </c>
      <c r="D27" s="12" t="s">
        <v>191</v>
      </c>
    </row>
    <row r="28" spans="2:4" ht="28.2" thickBot="1" x14ac:dyDescent="0.35">
      <c r="B28" s="11" t="s">
        <v>192</v>
      </c>
      <c r="C28" s="12" t="s">
        <v>193</v>
      </c>
      <c r="D28" s="12" t="s">
        <v>194</v>
      </c>
    </row>
    <row r="29" spans="2:4" ht="15" thickBot="1" x14ac:dyDescent="0.35">
      <c r="B29" s="11" t="s">
        <v>60</v>
      </c>
      <c r="C29" s="12" t="s">
        <v>195</v>
      </c>
      <c r="D29" s="12" t="s">
        <v>196</v>
      </c>
    </row>
    <row r="30" spans="2:4" ht="15" thickBot="1" x14ac:dyDescent="0.35">
      <c r="B30" s="11" t="s">
        <v>96</v>
      </c>
      <c r="C30" s="12" t="s">
        <v>197</v>
      </c>
      <c r="D30" s="12" t="s">
        <v>198</v>
      </c>
    </row>
    <row r="31" spans="2:4" ht="28.2" thickBot="1" x14ac:dyDescent="0.35">
      <c r="B31" s="11" t="s">
        <v>134</v>
      </c>
      <c r="C31" s="12" t="s">
        <v>199</v>
      </c>
      <c r="D31" s="12" t="s">
        <v>200</v>
      </c>
    </row>
    <row r="32" spans="2:4" ht="15" thickBot="1" x14ac:dyDescent="0.35">
      <c r="B32" s="11" t="s">
        <v>210</v>
      </c>
      <c r="C32" s="12" t="s">
        <v>211</v>
      </c>
      <c r="D32" s="12" t="s">
        <v>202</v>
      </c>
    </row>
    <row r="33" spans="2:4" ht="15" thickBot="1" x14ac:dyDescent="0.35">
      <c r="B33" s="11"/>
      <c r="C33" s="12"/>
      <c r="D33" s="12"/>
    </row>
    <row r="34" spans="2:4" ht="15" thickBot="1" x14ac:dyDescent="0.35">
      <c r="B34" s="11"/>
      <c r="C34" s="12"/>
      <c r="D34" s="12"/>
    </row>
    <row r="35" spans="2:4" ht="15" thickBot="1" x14ac:dyDescent="0.35">
      <c r="B35" s="11"/>
      <c r="C35" s="12"/>
      <c r="D35" s="12"/>
    </row>
    <row r="36" spans="2:4" ht="15" thickBot="1" x14ac:dyDescent="0.35">
      <c r="B36" s="11"/>
      <c r="C36" s="12"/>
      <c r="D36" s="12"/>
    </row>
    <row r="37" spans="2:4" ht="15" thickBot="1" x14ac:dyDescent="0.35">
      <c r="B37" s="11"/>
      <c r="C37" s="12"/>
      <c r="D37" s="12"/>
    </row>
    <row r="38" spans="2:4" ht="15" thickBot="1" x14ac:dyDescent="0.35">
      <c r="B38" s="11"/>
      <c r="C38" s="12"/>
      <c r="D3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B049-C40F-4173-8263-54003DCF0BD0}">
  <dimension ref="B1:G26"/>
  <sheetViews>
    <sheetView topLeftCell="A9" workbookViewId="0">
      <selection activeCell="B33" sqref="B33"/>
    </sheetView>
  </sheetViews>
  <sheetFormatPr defaultRowHeight="14.4" x14ac:dyDescent="0.3"/>
  <cols>
    <col min="2" max="2" width="23.6640625" customWidth="1"/>
    <col min="3" max="3" width="27.6640625" customWidth="1"/>
    <col min="4" max="4" width="22.44140625" customWidth="1"/>
    <col min="6" max="6" width="9.88671875" bestFit="1" customWidth="1"/>
    <col min="7" max="7" width="15" customWidth="1"/>
  </cols>
  <sheetData>
    <row r="1" spans="2:7" ht="15" thickBot="1" x14ac:dyDescent="0.35"/>
    <row r="2" spans="2:7" ht="42" thickBot="1" x14ac:dyDescent="0.35">
      <c r="B2" s="10" t="s">
        <v>212</v>
      </c>
      <c r="C2" s="10" t="s">
        <v>213</v>
      </c>
      <c r="D2" s="10" t="s">
        <v>214</v>
      </c>
    </row>
    <row r="3" spans="2:7" ht="15" thickBot="1" x14ac:dyDescent="0.35">
      <c r="B3" s="12" t="s">
        <v>215</v>
      </c>
      <c r="C3" s="12" t="s">
        <v>216</v>
      </c>
      <c r="D3" s="12" t="s">
        <v>217</v>
      </c>
    </row>
    <row r="4" spans="2:7" ht="15" thickBot="1" x14ac:dyDescent="0.35">
      <c r="B4" s="12" t="s">
        <v>218</v>
      </c>
      <c r="C4" s="14">
        <v>11801</v>
      </c>
      <c r="D4" s="14">
        <v>10070</v>
      </c>
    </row>
    <row r="5" spans="2:7" ht="15" thickBot="1" x14ac:dyDescent="0.35">
      <c r="B5" s="12" t="s">
        <v>219</v>
      </c>
      <c r="C5" s="15">
        <v>3.3599999999999998E-2</v>
      </c>
      <c r="D5" s="15">
        <v>7.4000000000000003E-3</v>
      </c>
    </row>
    <row r="6" spans="2:7" ht="15" thickBot="1" x14ac:dyDescent="0.35">
      <c r="B6" s="12" t="s">
        <v>220</v>
      </c>
      <c r="C6" s="16">
        <v>15.56</v>
      </c>
      <c r="D6" s="16">
        <v>4.21</v>
      </c>
    </row>
    <row r="8" spans="2:7" ht="15" thickBot="1" x14ac:dyDescent="0.35"/>
    <row r="9" spans="2:7" ht="55.8" thickBot="1" x14ac:dyDescent="0.35">
      <c r="B9" s="10" t="s">
        <v>147</v>
      </c>
      <c r="C9" s="10" t="s">
        <v>221</v>
      </c>
      <c r="D9" s="10" t="s">
        <v>222</v>
      </c>
      <c r="E9" s="10" t="s">
        <v>218</v>
      </c>
      <c r="F9" s="10" t="s">
        <v>223</v>
      </c>
      <c r="G9" s="10" t="s">
        <v>219</v>
      </c>
    </row>
    <row r="10" spans="2:7" ht="15" thickBot="1" x14ac:dyDescent="0.35">
      <c r="B10" s="17">
        <v>46320</v>
      </c>
      <c r="C10" s="12" t="s">
        <v>224</v>
      </c>
      <c r="D10" s="18">
        <v>32950</v>
      </c>
      <c r="E10" s="12">
        <v>147</v>
      </c>
      <c r="F10" s="18">
        <v>4258</v>
      </c>
      <c r="G10" s="15">
        <v>0.12920000000000001</v>
      </c>
    </row>
    <row r="11" spans="2:7" ht="15" thickBot="1" x14ac:dyDescent="0.35">
      <c r="B11" s="17">
        <v>46320</v>
      </c>
      <c r="C11" s="12" t="s">
        <v>225</v>
      </c>
      <c r="D11" s="18">
        <v>332683</v>
      </c>
      <c r="E11" s="14">
        <v>2368</v>
      </c>
      <c r="F11" s="18">
        <v>22989</v>
      </c>
      <c r="G11" s="15">
        <v>6.9099999999999995E-2</v>
      </c>
    </row>
    <row r="12" spans="2:7" ht="15" thickBot="1" x14ac:dyDescent="0.35">
      <c r="B12" s="17">
        <v>46351</v>
      </c>
      <c r="C12" s="12" t="s">
        <v>224</v>
      </c>
      <c r="D12" s="18">
        <v>33748</v>
      </c>
      <c r="E12" s="12">
        <v>168</v>
      </c>
      <c r="F12" s="18">
        <v>4327</v>
      </c>
      <c r="G12" s="15">
        <v>0.12820000000000001</v>
      </c>
    </row>
    <row r="13" spans="2:7" ht="15" thickBot="1" x14ac:dyDescent="0.35">
      <c r="B13" s="17">
        <v>46351</v>
      </c>
      <c r="C13" s="12" t="s">
        <v>225</v>
      </c>
      <c r="D13" s="18">
        <v>286884</v>
      </c>
      <c r="E13" s="14">
        <v>1895</v>
      </c>
      <c r="F13" s="18">
        <v>30029</v>
      </c>
      <c r="G13" s="15">
        <v>0.1047</v>
      </c>
    </row>
    <row r="14" spans="2:7" ht="15" thickBot="1" x14ac:dyDescent="0.35">
      <c r="B14" s="17">
        <v>46381</v>
      </c>
      <c r="C14" s="12" t="s">
        <v>224</v>
      </c>
      <c r="D14" s="18">
        <v>125194</v>
      </c>
      <c r="E14" s="12">
        <v>779</v>
      </c>
      <c r="F14" s="18">
        <v>15223</v>
      </c>
      <c r="G14" s="15">
        <v>0.1216</v>
      </c>
    </row>
    <row r="15" spans="2:7" ht="15" thickBot="1" x14ac:dyDescent="0.35">
      <c r="B15" s="17">
        <v>46381</v>
      </c>
      <c r="C15" s="12" t="s">
        <v>225</v>
      </c>
      <c r="D15" s="18">
        <v>1223240</v>
      </c>
      <c r="E15" s="14">
        <v>5503</v>
      </c>
      <c r="F15" s="18">
        <v>62755</v>
      </c>
      <c r="G15" s="15">
        <v>5.1299999999999998E-2</v>
      </c>
    </row>
    <row r="16" spans="2:7" ht="15" thickBot="1" x14ac:dyDescent="0.35">
      <c r="B16" s="17">
        <v>46048</v>
      </c>
      <c r="C16" s="12" t="s">
        <v>224</v>
      </c>
      <c r="D16" s="18">
        <v>212247</v>
      </c>
      <c r="E16" s="12">
        <v>811</v>
      </c>
      <c r="F16" s="18">
        <v>20185</v>
      </c>
      <c r="G16" s="15">
        <v>9.5100000000000004E-2</v>
      </c>
    </row>
    <row r="17" spans="2:7" ht="15" thickBot="1" x14ac:dyDescent="0.35">
      <c r="B17" s="17">
        <v>46048</v>
      </c>
      <c r="C17" s="12" t="s">
        <v>225</v>
      </c>
      <c r="D17" s="18">
        <v>2042565</v>
      </c>
      <c r="E17" s="14">
        <v>8871</v>
      </c>
      <c r="F17" s="18">
        <v>101322</v>
      </c>
      <c r="G17" s="15">
        <v>4.9599999999999998E-2</v>
      </c>
    </row>
    <row r="18" spans="2:7" ht="15" thickBot="1" x14ac:dyDescent="0.35">
      <c r="B18" s="17">
        <v>46079</v>
      </c>
      <c r="C18" s="12" t="s">
        <v>224</v>
      </c>
      <c r="D18" s="18">
        <v>335675</v>
      </c>
      <c r="E18" s="14">
        <v>1121</v>
      </c>
      <c r="F18" s="18">
        <v>28745</v>
      </c>
      <c r="G18" s="15">
        <v>8.5599999999999996E-2</v>
      </c>
    </row>
    <row r="19" spans="2:7" ht="15" thickBot="1" x14ac:dyDescent="0.35">
      <c r="B19" s="17">
        <v>46079</v>
      </c>
      <c r="C19" s="12" t="s">
        <v>225</v>
      </c>
      <c r="D19" s="18">
        <v>3092861</v>
      </c>
      <c r="E19" s="14">
        <v>10972</v>
      </c>
      <c r="F19" s="18">
        <v>143149</v>
      </c>
      <c r="G19" s="15">
        <v>4.6300000000000001E-2</v>
      </c>
    </row>
    <row r="20" spans="2:7" s="22" customFormat="1" ht="15" thickBot="1" x14ac:dyDescent="0.35">
      <c r="B20" s="26">
        <v>46107</v>
      </c>
      <c r="C20" s="27" t="s">
        <v>224</v>
      </c>
      <c r="D20" s="28">
        <v>551006</v>
      </c>
      <c r="E20" s="29">
        <v>1108</v>
      </c>
      <c r="F20" s="28">
        <v>36168</v>
      </c>
      <c r="G20" s="30">
        <v>6.5600000000000006E-2</v>
      </c>
    </row>
    <row r="21" spans="2:7" s="22" customFormat="1" ht="15" thickBot="1" x14ac:dyDescent="0.35">
      <c r="B21" s="26">
        <v>46107</v>
      </c>
      <c r="C21" s="27" t="s">
        <v>225</v>
      </c>
      <c r="D21" s="28">
        <v>4134853</v>
      </c>
      <c r="E21" s="29">
        <v>9115</v>
      </c>
      <c r="F21" s="28">
        <v>149204</v>
      </c>
      <c r="G21" s="30">
        <v>3.61E-2</v>
      </c>
    </row>
    <row r="22" spans="2:7" s="22" customFormat="1" ht="15" thickBot="1" x14ac:dyDescent="0.35">
      <c r="B22" s="26">
        <v>46138</v>
      </c>
      <c r="C22" s="27" t="s">
        <v>224</v>
      </c>
      <c r="D22" s="28">
        <v>626890</v>
      </c>
      <c r="E22" s="29">
        <v>1391</v>
      </c>
      <c r="F22" s="28">
        <v>41080</v>
      </c>
      <c r="G22" s="30">
        <v>6.5500000000000003E-2</v>
      </c>
    </row>
    <row r="23" spans="2:7" s="22" customFormat="1" ht="15" thickBot="1" x14ac:dyDescent="0.35">
      <c r="B23" s="26">
        <v>46138</v>
      </c>
      <c r="C23" s="27" t="s">
        <v>225</v>
      </c>
      <c r="D23" s="28">
        <v>5467913</v>
      </c>
      <c r="E23" s="29">
        <v>11801</v>
      </c>
      <c r="F23" s="28">
        <v>183619</v>
      </c>
      <c r="G23" s="30">
        <v>3.3599999999999998E-2</v>
      </c>
    </row>
    <row r="24" spans="2:7" ht="15" thickBot="1" x14ac:dyDescent="0.35">
      <c r="B24" s="17">
        <v>46168</v>
      </c>
      <c r="C24" s="12" t="s">
        <v>224</v>
      </c>
      <c r="D24" s="18">
        <v>1055033</v>
      </c>
      <c r="E24" s="14">
        <v>1519</v>
      </c>
      <c r="F24" s="12" t="s">
        <v>226</v>
      </c>
      <c r="G24" s="12" t="s">
        <v>226</v>
      </c>
    </row>
    <row r="25" spans="2:7" ht="15" thickBot="1" x14ac:dyDescent="0.35">
      <c r="B25" s="17">
        <v>46168</v>
      </c>
      <c r="C25" s="12" t="s">
        <v>225</v>
      </c>
      <c r="D25" s="18">
        <v>1832333</v>
      </c>
      <c r="E25" s="14">
        <v>3843</v>
      </c>
      <c r="F25" s="12" t="s">
        <v>226</v>
      </c>
      <c r="G25" s="12" t="s">
        <v>226</v>
      </c>
    </row>
    <row r="26" spans="2:7" s="22" customFormat="1" ht="15" thickBot="1" x14ac:dyDescent="0.35">
      <c r="B26" s="26">
        <v>46168</v>
      </c>
      <c r="C26" s="27" t="s">
        <v>227</v>
      </c>
      <c r="D26" s="28">
        <v>5719981</v>
      </c>
      <c r="E26" s="29">
        <v>10070</v>
      </c>
      <c r="F26" s="28">
        <v>42428</v>
      </c>
      <c r="G26" s="30">
        <v>7.4000000000000003E-3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6CDF-6715-4EF5-A45F-3C3350A9D292}">
  <dimension ref="B2:G41"/>
  <sheetViews>
    <sheetView topLeftCell="A17" workbookViewId="0">
      <selection activeCell="B6" sqref="B6:F6"/>
    </sheetView>
  </sheetViews>
  <sheetFormatPr defaultRowHeight="14.4" x14ac:dyDescent="0.3"/>
  <cols>
    <col min="2" max="2" width="20.44140625" bestFit="1" customWidth="1"/>
    <col min="3" max="3" width="81.33203125" bestFit="1" customWidth="1"/>
    <col min="4" max="4" width="43.44140625" bestFit="1" customWidth="1"/>
    <col min="5" max="5" width="17.33203125" bestFit="1" customWidth="1"/>
    <col min="6" max="6" width="14.5546875" bestFit="1" customWidth="1"/>
  </cols>
  <sheetData>
    <row r="2" spans="2:6" ht="15.6" x14ac:dyDescent="0.3">
      <c r="B2" s="1"/>
      <c r="C2" s="1"/>
      <c r="D2" s="1"/>
      <c r="E2" s="1"/>
      <c r="F2" s="1"/>
    </row>
    <row r="3" spans="2:6" ht="15.6" x14ac:dyDescent="0.3">
      <c r="B3" s="2"/>
      <c r="C3" s="2" t="s">
        <v>0</v>
      </c>
      <c r="D3" s="2" t="s">
        <v>1</v>
      </c>
      <c r="E3" s="2" t="s">
        <v>2</v>
      </c>
      <c r="F3" s="2" t="s">
        <v>3</v>
      </c>
    </row>
    <row r="4" spans="2:6" s="22" customFormat="1" ht="15.6" x14ac:dyDescent="0.3">
      <c r="B4" s="19" t="s">
        <v>4</v>
      </c>
      <c r="C4" s="19" t="s">
        <v>5</v>
      </c>
      <c r="D4" s="19" t="s">
        <v>6</v>
      </c>
      <c r="E4" s="19" t="s">
        <v>7</v>
      </c>
      <c r="F4" s="21">
        <v>6435.06</v>
      </c>
    </row>
    <row r="5" spans="2:6" s="22" customFormat="1" ht="15.6" x14ac:dyDescent="0.3">
      <c r="B5" s="19" t="s">
        <v>8</v>
      </c>
      <c r="C5" s="19" t="s">
        <v>9</v>
      </c>
      <c r="D5" s="19" t="s">
        <v>10</v>
      </c>
      <c r="E5" s="19" t="s">
        <v>11</v>
      </c>
      <c r="F5" s="21">
        <v>32400</v>
      </c>
    </row>
    <row r="6" spans="2:6" s="22" customFormat="1" ht="15.6" x14ac:dyDescent="0.3">
      <c r="B6" s="19" t="s">
        <v>12</v>
      </c>
      <c r="C6" s="19" t="s">
        <v>13</v>
      </c>
      <c r="D6" s="19" t="s">
        <v>14</v>
      </c>
      <c r="E6" s="19" t="s">
        <v>15</v>
      </c>
      <c r="F6" s="21">
        <v>877</v>
      </c>
    </row>
    <row r="7" spans="2:6" s="22" customFormat="1" ht="15.6" x14ac:dyDescent="0.3">
      <c r="B7" s="19" t="s">
        <v>16</v>
      </c>
      <c r="C7" s="19" t="s">
        <v>17</v>
      </c>
      <c r="D7" s="19" t="s">
        <v>18</v>
      </c>
      <c r="E7" s="19" t="s">
        <v>11</v>
      </c>
      <c r="F7" s="21">
        <v>19258.04</v>
      </c>
    </row>
    <row r="8" spans="2:6" s="22" customFormat="1" ht="15.6" x14ac:dyDescent="0.3">
      <c r="B8" s="19" t="s">
        <v>19</v>
      </c>
      <c r="C8" s="19" t="s">
        <v>20</v>
      </c>
      <c r="D8" s="19" t="s">
        <v>21</v>
      </c>
      <c r="E8" s="19" t="s">
        <v>11</v>
      </c>
      <c r="F8" s="21">
        <v>35215.79</v>
      </c>
    </row>
    <row r="9" spans="2:6" s="22" customFormat="1" ht="15.6" x14ac:dyDescent="0.3">
      <c r="B9" s="19" t="s">
        <v>22</v>
      </c>
      <c r="C9" s="19" t="s">
        <v>23</v>
      </c>
      <c r="D9" s="19" t="s">
        <v>24</v>
      </c>
      <c r="E9" s="19" t="s">
        <v>11</v>
      </c>
      <c r="F9" s="21">
        <v>101500</v>
      </c>
    </row>
    <row r="10" spans="2:6" s="22" customFormat="1" ht="15.6" x14ac:dyDescent="0.3">
      <c r="B10" s="19" t="s">
        <v>25</v>
      </c>
      <c r="C10" s="19" t="s">
        <v>26</v>
      </c>
      <c r="D10" s="19" t="s">
        <v>27</v>
      </c>
      <c r="E10" s="19" t="s">
        <v>11</v>
      </c>
      <c r="F10" s="21">
        <v>143953.31</v>
      </c>
    </row>
    <row r="11" spans="2:6" s="22" customFormat="1" ht="15.6" x14ac:dyDescent="0.3">
      <c r="B11" s="19" t="s">
        <v>28</v>
      </c>
      <c r="C11" s="19" t="s">
        <v>29</v>
      </c>
      <c r="D11" s="19" t="s">
        <v>30</v>
      </c>
      <c r="E11" s="19" t="s">
        <v>31</v>
      </c>
      <c r="F11" s="21">
        <v>102569.31</v>
      </c>
    </row>
    <row r="12" spans="2:6" s="22" customFormat="1" ht="15.6" x14ac:dyDescent="0.3">
      <c r="B12" s="19" t="s">
        <v>32</v>
      </c>
      <c r="C12" s="19" t="s">
        <v>33</v>
      </c>
      <c r="D12" s="19"/>
      <c r="E12" s="19" t="s">
        <v>31</v>
      </c>
      <c r="F12" s="21">
        <v>133450.51999999999</v>
      </c>
    </row>
    <row r="13" spans="2:6" s="22" customFormat="1" ht="15.6" x14ac:dyDescent="0.3">
      <c r="B13" s="19" t="s">
        <v>32</v>
      </c>
      <c r="C13" s="19" t="s">
        <v>34</v>
      </c>
      <c r="D13" s="19"/>
      <c r="E13" s="19" t="s">
        <v>31</v>
      </c>
      <c r="F13" s="21">
        <v>133370.68</v>
      </c>
    </row>
    <row r="14" spans="2:6" s="22" customFormat="1" ht="15.6" x14ac:dyDescent="0.3">
      <c r="B14" s="19" t="s">
        <v>35</v>
      </c>
      <c r="C14" s="19" t="s">
        <v>36</v>
      </c>
      <c r="D14" s="19" t="s">
        <v>37</v>
      </c>
      <c r="E14" s="19" t="s">
        <v>11</v>
      </c>
      <c r="F14" s="21">
        <v>280.01</v>
      </c>
    </row>
    <row r="15" spans="2:6" ht="15.6" x14ac:dyDescent="0.3">
      <c r="B15" s="19" t="s">
        <v>38</v>
      </c>
      <c r="C15" s="19" t="s">
        <v>39</v>
      </c>
      <c r="D15" s="19" t="s">
        <v>40</v>
      </c>
      <c r="E15" s="19" t="s">
        <v>11</v>
      </c>
      <c r="F15" s="21">
        <v>64759.11</v>
      </c>
    </row>
    <row r="16" spans="2:6" ht="15.6" x14ac:dyDescent="0.3">
      <c r="B16" s="3" t="s">
        <v>41</v>
      </c>
      <c r="C16" s="3" t="s">
        <v>42</v>
      </c>
      <c r="D16" s="3" t="s">
        <v>43</v>
      </c>
      <c r="E16" s="3" t="s">
        <v>44</v>
      </c>
      <c r="F16" s="4">
        <v>500000</v>
      </c>
    </row>
    <row r="17" spans="2:6" s="22" customFormat="1" ht="15.6" x14ac:dyDescent="0.3">
      <c r="B17" s="19" t="s">
        <v>45</v>
      </c>
      <c r="C17" s="19" t="s">
        <v>46</v>
      </c>
      <c r="D17" s="19" t="s">
        <v>47</v>
      </c>
      <c r="E17" s="19" t="s">
        <v>48</v>
      </c>
      <c r="F17" s="21">
        <v>1946.99</v>
      </c>
    </row>
    <row r="18" spans="2:6" ht="15.6" x14ac:dyDescent="0.3">
      <c r="B18" s="19" t="s">
        <v>49</v>
      </c>
      <c r="C18" s="19" t="s">
        <v>50</v>
      </c>
      <c r="D18" s="19"/>
      <c r="E18" s="19" t="s">
        <v>11</v>
      </c>
      <c r="F18" s="21">
        <v>148048.48000000001</v>
      </c>
    </row>
    <row r="19" spans="2:6" ht="15.6" x14ac:dyDescent="0.3">
      <c r="B19" s="25" t="s">
        <v>51</v>
      </c>
      <c r="C19" s="19" t="s">
        <v>52</v>
      </c>
      <c r="D19" s="19"/>
      <c r="E19" s="19" t="s">
        <v>11</v>
      </c>
      <c r="F19" s="24">
        <v>29609.7</v>
      </c>
    </row>
    <row r="20" spans="2:6" s="22" customFormat="1" ht="15.6" x14ac:dyDescent="0.3">
      <c r="B20" s="25" t="s">
        <v>53</v>
      </c>
      <c r="C20" s="19" t="s">
        <v>54</v>
      </c>
      <c r="D20" s="19"/>
      <c r="E20" s="19" t="s">
        <v>11</v>
      </c>
      <c r="F20" s="21">
        <v>37873</v>
      </c>
    </row>
    <row r="21" spans="2:6" s="22" customFormat="1" ht="15.6" x14ac:dyDescent="0.3">
      <c r="B21" s="25" t="s">
        <v>55</v>
      </c>
      <c r="C21" s="19" t="s">
        <v>56</v>
      </c>
      <c r="D21" s="19"/>
      <c r="E21" s="19" t="s">
        <v>11</v>
      </c>
      <c r="F21" s="24">
        <v>344559.64</v>
      </c>
    </row>
    <row r="22" spans="2:6" s="22" customFormat="1" ht="15.6" x14ac:dyDescent="0.3">
      <c r="B22" s="20" t="s">
        <v>4</v>
      </c>
      <c r="C22" s="23" t="s">
        <v>57</v>
      </c>
      <c r="D22" s="19"/>
      <c r="E22" s="19" t="s">
        <v>11</v>
      </c>
      <c r="F22" s="24">
        <v>447958.1</v>
      </c>
    </row>
    <row r="23" spans="2:6" ht="15.6" x14ac:dyDescent="0.3">
      <c r="B23" s="2"/>
      <c r="C23" s="7"/>
      <c r="D23" s="7"/>
      <c r="E23" s="7"/>
      <c r="F23" s="8">
        <v>2284064.7400000002</v>
      </c>
    </row>
    <row r="25" spans="2:6" ht="15.6" x14ac:dyDescent="0.3">
      <c r="B25" s="2"/>
      <c r="C25" s="2" t="s">
        <v>0</v>
      </c>
      <c r="D25" s="2" t="s">
        <v>1</v>
      </c>
      <c r="E25" s="2" t="s">
        <v>2</v>
      </c>
      <c r="F25" s="2" t="s">
        <v>3</v>
      </c>
    </row>
    <row r="26" spans="2:6" s="22" customFormat="1" ht="15.6" x14ac:dyDescent="0.3">
      <c r="B26" s="20" t="s">
        <v>4</v>
      </c>
      <c r="C26" s="23" t="s">
        <v>58</v>
      </c>
      <c r="D26" s="19"/>
      <c r="E26" s="19" t="s">
        <v>59</v>
      </c>
      <c r="F26" s="24">
        <v>452464.84</v>
      </c>
    </row>
    <row r="27" spans="2:6" s="22" customFormat="1" ht="15.6" x14ac:dyDescent="0.3">
      <c r="B27" s="19" t="s">
        <v>60</v>
      </c>
      <c r="C27" s="19" t="s">
        <v>61</v>
      </c>
      <c r="D27" s="19" t="s">
        <v>62</v>
      </c>
      <c r="E27" s="19"/>
      <c r="F27" s="24">
        <v>11975.96</v>
      </c>
    </row>
    <row r="28" spans="2:6" s="22" customFormat="1" ht="15.6" x14ac:dyDescent="0.3">
      <c r="B28" s="19" t="s">
        <v>53</v>
      </c>
      <c r="C28" s="19" t="s">
        <v>54</v>
      </c>
      <c r="D28" s="19"/>
      <c r="E28" s="19"/>
      <c r="F28" s="24">
        <v>291797</v>
      </c>
    </row>
    <row r="29" spans="2:6" s="22" customFormat="1" ht="15.6" x14ac:dyDescent="0.3">
      <c r="B29" s="19" t="s">
        <v>53</v>
      </c>
      <c r="C29" s="19" t="s">
        <v>54</v>
      </c>
      <c r="D29" s="19"/>
      <c r="E29" s="19"/>
      <c r="F29" s="24">
        <v>13</v>
      </c>
    </row>
    <row r="30" spans="2:6" s="22" customFormat="1" ht="15.6" x14ac:dyDescent="0.3">
      <c r="B30" s="19" t="s">
        <v>63</v>
      </c>
      <c r="C30" s="19" t="s">
        <v>64</v>
      </c>
      <c r="D30" s="19" t="s">
        <v>65</v>
      </c>
      <c r="E30" s="19" t="s">
        <v>59</v>
      </c>
      <c r="F30" s="24">
        <v>14068.85</v>
      </c>
    </row>
    <row r="31" spans="2:6" ht="15.6" x14ac:dyDescent="0.3">
      <c r="B31" s="3"/>
      <c r="C31" s="3"/>
      <c r="D31" s="3"/>
      <c r="E31" s="3"/>
      <c r="F31" s="3"/>
    </row>
    <row r="32" spans="2:6" ht="15.6" x14ac:dyDescent="0.3">
      <c r="B32" s="3"/>
      <c r="C32" s="3"/>
      <c r="D32" s="3"/>
      <c r="E32" s="3"/>
      <c r="F32" s="3"/>
    </row>
    <row r="33" spans="2:7" ht="15.6" x14ac:dyDescent="0.3">
      <c r="B33" s="3"/>
      <c r="C33" s="3"/>
      <c r="D33" s="3"/>
      <c r="E33" s="3"/>
      <c r="F33" s="3"/>
    </row>
    <row r="34" spans="2:7" ht="15.6" x14ac:dyDescent="0.3">
      <c r="B34" s="3"/>
      <c r="C34" s="3"/>
      <c r="D34" s="3"/>
      <c r="E34" s="3"/>
      <c r="F34" s="3"/>
    </row>
    <row r="35" spans="2:7" s="22" customFormat="1" ht="15.6" x14ac:dyDescent="0.3">
      <c r="B35" s="19" t="s">
        <v>32</v>
      </c>
      <c r="C35" s="19" t="s">
        <v>66</v>
      </c>
      <c r="D35" s="19"/>
      <c r="E35" s="19" t="s">
        <v>59</v>
      </c>
      <c r="F35" s="24">
        <v>430499.42</v>
      </c>
    </row>
    <row r="36" spans="2:7" s="22" customFormat="1" ht="15.6" x14ac:dyDescent="0.3">
      <c r="B36" s="19" t="s">
        <v>32</v>
      </c>
      <c r="C36" s="19" t="s">
        <v>33</v>
      </c>
      <c r="D36" s="19"/>
      <c r="E36" s="19" t="s">
        <v>59</v>
      </c>
      <c r="F36" s="24">
        <v>193936.09</v>
      </c>
    </row>
    <row r="37" spans="2:7" s="22" customFormat="1" ht="15.6" x14ac:dyDescent="0.3">
      <c r="B37" s="19" t="s">
        <v>35</v>
      </c>
      <c r="C37" s="19" t="s">
        <v>36</v>
      </c>
      <c r="D37" s="19" t="s">
        <v>37</v>
      </c>
      <c r="E37" s="19" t="s">
        <v>59</v>
      </c>
      <c r="F37" s="24">
        <v>2500.0100000000002</v>
      </c>
    </row>
    <row r="38" spans="2:7" s="22" customFormat="1" ht="15.6" x14ac:dyDescent="0.3">
      <c r="B38" s="19" t="s">
        <v>67</v>
      </c>
      <c r="C38" s="19" t="s">
        <v>68</v>
      </c>
      <c r="D38" s="19"/>
      <c r="E38" s="19" t="s">
        <v>59</v>
      </c>
      <c r="F38" s="24">
        <v>535979.16</v>
      </c>
    </row>
    <row r="39" spans="2:7" s="22" customFormat="1" ht="15.6" x14ac:dyDescent="0.3">
      <c r="B39" s="19" t="s">
        <v>69</v>
      </c>
      <c r="C39" s="19" t="s">
        <v>70</v>
      </c>
      <c r="D39" s="19" t="s">
        <v>71</v>
      </c>
      <c r="E39" s="19" t="s">
        <v>59</v>
      </c>
      <c r="F39" s="24">
        <v>45825.8</v>
      </c>
    </row>
    <row r="40" spans="2:7" s="22" customFormat="1" ht="15.6" x14ac:dyDescent="0.3">
      <c r="B40" s="210" t="s">
        <v>143</v>
      </c>
      <c r="C40" s="212"/>
      <c r="D40" s="63" t="s">
        <v>144</v>
      </c>
      <c r="E40" s="214" t="s">
        <v>146</v>
      </c>
      <c r="F40" s="216">
        <v>641988.9</v>
      </c>
      <c r="G40" s="216"/>
    </row>
    <row r="41" spans="2:7" s="22" customFormat="1" ht="15.6" x14ac:dyDescent="0.3">
      <c r="B41" s="211"/>
      <c r="C41" s="213"/>
      <c r="D41" s="64" t="s">
        <v>145</v>
      </c>
      <c r="E41" s="215"/>
      <c r="F41" s="217"/>
      <c r="G41" s="217"/>
    </row>
  </sheetData>
  <mergeCells count="5">
    <mergeCell ref="B40:B41"/>
    <mergeCell ref="C40:C41"/>
    <mergeCell ref="E40:E41"/>
    <mergeCell ref="F40:F41"/>
    <mergeCell ref="G40:G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182A-D99F-4CE9-8F2D-9DD65E2E6DE2}">
  <dimension ref="B2:F33"/>
  <sheetViews>
    <sheetView topLeftCell="A12" workbookViewId="0">
      <selection activeCell="A33" sqref="A33:XFD33"/>
    </sheetView>
  </sheetViews>
  <sheetFormatPr defaultRowHeight="14.4" x14ac:dyDescent="0.3"/>
  <cols>
    <col min="2" max="2" width="26" customWidth="1"/>
    <col min="3" max="3" width="70.109375" bestFit="1" customWidth="1"/>
    <col min="4" max="4" width="45.21875" bestFit="1" customWidth="1"/>
    <col min="5" max="5" width="9.88671875" bestFit="1" customWidth="1"/>
    <col min="6" max="6" width="12.88671875" bestFit="1" customWidth="1"/>
  </cols>
  <sheetData>
    <row r="2" spans="2:6" s="22" customFormat="1" ht="15.6" x14ac:dyDescent="0.3">
      <c r="B2" s="19" t="s">
        <v>19</v>
      </c>
      <c r="C2" s="19" t="s">
        <v>72</v>
      </c>
      <c r="D2" s="19" t="s">
        <v>21</v>
      </c>
      <c r="E2" s="19" t="s">
        <v>73</v>
      </c>
      <c r="F2" s="21">
        <v>53042</v>
      </c>
    </row>
    <row r="3" spans="2:6" s="22" customFormat="1" ht="15.6" x14ac:dyDescent="0.3">
      <c r="B3" s="19" t="s">
        <v>22</v>
      </c>
      <c r="C3" s="19" t="s">
        <v>74</v>
      </c>
      <c r="D3" s="19" t="s">
        <v>24</v>
      </c>
      <c r="E3" s="19" t="s">
        <v>73</v>
      </c>
      <c r="F3" s="21">
        <v>101500</v>
      </c>
    </row>
    <row r="4" spans="2:6" s="22" customFormat="1" ht="15.6" x14ac:dyDescent="0.3">
      <c r="B4" s="19" t="s">
        <v>8</v>
      </c>
      <c r="C4" s="19" t="s">
        <v>75</v>
      </c>
      <c r="D4" s="19" t="s">
        <v>10</v>
      </c>
      <c r="E4" s="19" t="s">
        <v>73</v>
      </c>
      <c r="F4" s="21">
        <v>32400</v>
      </c>
    </row>
    <row r="5" spans="2:6" s="22" customFormat="1" ht="15.6" x14ac:dyDescent="0.3">
      <c r="B5" s="19" t="s">
        <v>35</v>
      </c>
      <c r="C5" s="19" t="s">
        <v>76</v>
      </c>
      <c r="D5" s="19" t="s">
        <v>37</v>
      </c>
      <c r="E5" s="19" t="s">
        <v>73</v>
      </c>
      <c r="F5" s="21">
        <v>280.01</v>
      </c>
    </row>
    <row r="6" spans="2:6" s="22" customFormat="1" ht="15.6" x14ac:dyDescent="0.3">
      <c r="B6" s="19" t="s">
        <v>16</v>
      </c>
      <c r="C6" s="19" t="s">
        <v>77</v>
      </c>
      <c r="D6" s="19" t="s">
        <v>18</v>
      </c>
      <c r="E6" s="19" t="s">
        <v>73</v>
      </c>
      <c r="F6" s="21">
        <v>22111.08</v>
      </c>
    </row>
    <row r="7" spans="2:6" s="22" customFormat="1" ht="15.6" x14ac:dyDescent="0.3">
      <c r="B7" s="19" t="s">
        <v>78</v>
      </c>
      <c r="C7" s="19" t="s">
        <v>79</v>
      </c>
      <c r="D7" s="19" t="s">
        <v>30</v>
      </c>
      <c r="E7" s="19" t="s">
        <v>80</v>
      </c>
      <c r="F7" s="21">
        <v>119986.02</v>
      </c>
    </row>
    <row r="8" spans="2:6" s="22" customFormat="1" ht="15.6" x14ac:dyDescent="0.3">
      <c r="B8" s="19" t="s">
        <v>38</v>
      </c>
      <c r="C8" s="19" t="s">
        <v>81</v>
      </c>
      <c r="D8" s="19" t="s">
        <v>40</v>
      </c>
      <c r="E8" s="19" t="s">
        <v>73</v>
      </c>
      <c r="F8" s="21">
        <v>65083.96</v>
      </c>
    </row>
    <row r="9" spans="2:6" s="22" customFormat="1" ht="15.6" x14ac:dyDescent="0.3">
      <c r="B9" s="19" t="s">
        <v>69</v>
      </c>
      <c r="C9" s="19" t="s">
        <v>82</v>
      </c>
      <c r="D9" s="19" t="s">
        <v>71</v>
      </c>
      <c r="E9" s="19" t="s">
        <v>73</v>
      </c>
      <c r="F9" s="24">
        <v>88448.84</v>
      </c>
    </row>
    <row r="10" spans="2:6" s="22" customFormat="1" ht="15.6" x14ac:dyDescent="0.3">
      <c r="B10" s="60" t="s">
        <v>83</v>
      </c>
      <c r="C10" s="60" t="s">
        <v>84</v>
      </c>
      <c r="D10" s="61" t="s">
        <v>85</v>
      </c>
      <c r="E10" s="19" t="s">
        <v>73</v>
      </c>
      <c r="F10" s="62">
        <v>11000</v>
      </c>
    </row>
    <row r="11" spans="2:6" s="22" customFormat="1" ht="15.6" x14ac:dyDescent="0.3">
      <c r="B11" s="61" t="s">
        <v>86</v>
      </c>
      <c r="C11" s="61" t="s">
        <v>87</v>
      </c>
      <c r="D11" s="69" t="s">
        <v>88</v>
      </c>
      <c r="E11" s="19" t="s">
        <v>73</v>
      </c>
      <c r="F11" s="62">
        <v>20399</v>
      </c>
    </row>
    <row r="12" spans="2:6" s="22" customFormat="1" ht="15.6" x14ac:dyDescent="0.3">
      <c r="B12" s="20" t="s">
        <v>53</v>
      </c>
      <c r="C12" s="19" t="s">
        <v>54</v>
      </c>
      <c r="D12" s="19" t="s">
        <v>89</v>
      </c>
      <c r="E12" s="19" t="s">
        <v>73</v>
      </c>
      <c r="F12" s="21">
        <v>36614</v>
      </c>
    </row>
    <row r="13" spans="2:6" s="22" customFormat="1" ht="15.6" x14ac:dyDescent="0.3">
      <c r="B13" s="20" t="s">
        <v>55</v>
      </c>
      <c r="C13" s="19" t="s">
        <v>56</v>
      </c>
      <c r="D13" s="19" t="s">
        <v>89</v>
      </c>
      <c r="E13" s="19" t="s">
        <v>73</v>
      </c>
      <c r="F13" s="24">
        <v>79155.44</v>
      </c>
    </row>
    <row r="14" spans="2:6" s="22" customFormat="1" ht="15.6" x14ac:dyDescent="0.3">
      <c r="B14" s="19" t="s">
        <v>45</v>
      </c>
      <c r="C14" s="19" t="s">
        <v>46</v>
      </c>
      <c r="D14" s="19" t="s">
        <v>47</v>
      </c>
      <c r="E14" s="19" t="s">
        <v>73</v>
      </c>
      <c r="F14" s="21">
        <v>1946.99</v>
      </c>
    </row>
    <row r="15" spans="2:6" s="22" customFormat="1" ht="15.6" x14ac:dyDescent="0.3">
      <c r="B15" s="65" t="s">
        <v>90</v>
      </c>
      <c r="C15" s="65" t="s">
        <v>91</v>
      </c>
      <c r="D15" s="61" t="s">
        <v>92</v>
      </c>
      <c r="E15" s="19" t="s">
        <v>73</v>
      </c>
      <c r="F15" s="66">
        <v>148048.48000000001</v>
      </c>
    </row>
    <row r="16" spans="2:6" s="22" customFormat="1" ht="15.6" x14ac:dyDescent="0.3">
      <c r="B16" s="65" t="s">
        <v>90</v>
      </c>
      <c r="C16" s="65" t="s">
        <v>93</v>
      </c>
      <c r="D16" s="61" t="s">
        <v>94</v>
      </c>
      <c r="E16" s="19" t="s">
        <v>73</v>
      </c>
      <c r="F16" s="66">
        <v>29609.7</v>
      </c>
    </row>
    <row r="17" spans="2:6" s="22" customFormat="1" ht="15.6" x14ac:dyDescent="0.3">
      <c r="B17" s="20" t="s">
        <v>4</v>
      </c>
      <c r="C17" s="23" t="s">
        <v>95</v>
      </c>
      <c r="D17" s="19"/>
      <c r="E17" s="19" t="s">
        <v>73</v>
      </c>
      <c r="F17" s="24">
        <v>433242.74</v>
      </c>
    </row>
    <row r="18" spans="2:6" s="22" customFormat="1" ht="15.6" x14ac:dyDescent="0.3">
      <c r="B18" s="25" t="s">
        <v>96</v>
      </c>
      <c r="C18" s="67" t="s">
        <v>97</v>
      </c>
      <c r="D18" s="19" t="s">
        <v>98</v>
      </c>
      <c r="E18" s="19" t="s">
        <v>73</v>
      </c>
      <c r="F18" s="24">
        <v>8096.8</v>
      </c>
    </row>
    <row r="19" spans="2:6" ht="15.6" x14ac:dyDescent="0.3">
      <c r="B19" s="5" t="s">
        <v>99</v>
      </c>
      <c r="C19" s="9" t="s">
        <v>100</v>
      </c>
      <c r="D19" s="3"/>
      <c r="E19" s="3" t="s">
        <v>73</v>
      </c>
      <c r="F19" s="6">
        <v>350000</v>
      </c>
    </row>
    <row r="23" spans="2:6" s="22" customFormat="1" ht="15.6" x14ac:dyDescent="0.3">
      <c r="B23" s="19" t="s">
        <v>32</v>
      </c>
      <c r="C23" s="19" t="s">
        <v>33</v>
      </c>
      <c r="D23" s="19"/>
      <c r="E23" s="19" t="s">
        <v>101</v>
      </c>
      <c r="F23" s="24">
        <v>138686</v>
      </c>
    </row>
    <row r="24" spans="2:6" s="22" customFormat="1" ht="15.6" x14ac:dyDescent="0.3">
      <c r="B24" s="19" t="s">
        <v>32</v>
      </c>
      <c r="C24" s="19" t="s">
        <v>102</v>
      </c>
      <c r="D24" s="19"/>
      <c r="E24" s="19" t="s">
        <v>101</v>
      </c>
      <c r="F24" s="24">
        <v>1605.73</v>
      </c>
    </row>
    <row r="25" spans="2:6" s="22" customFormat="1" ht="15.6" x14ac:dyDescent="0.3">
      <c r="B25" s="61" t="s">
        <v>103</v>
      </c>
      <c r="C25" s="61" t="s">
        <v>104</v>
      </c>
      <c r="D25" s="61" t="s">
        <v>89</v>
      </c>
      <c r="E25" s="19" t="s">
        <v>101</v>
      </c>
      <c r="F25" s="66">
        <v>280504</v>
      </c>
    </row>
    <row r="26" spans="2:6" s="22" customFormat="1" ht="15.6" x14ac:dyDescent="0.3">
      <c r="B26" s="19" t="s">
        <v>25</v>
      </c>
      <c r="C26" s="19" t="s">
        <v>26</v>
      </c>
      <c r="D26" s="19" t="s">
        <v>105</v>
      </c>
      <c r="E26" s="19" t="s">
        <v>106</v>
      </c>
      <c r="F26" s="21">
        <v>248511.25</v>
      </c>
    </row>
    <row r="27" spans="2:6" s="22" customFormat="1" ht="15.6" x14ac:dyDescent="0.3">
      <c r="B27" s="19" t="s">
        <v>32</v>
      </c>
      <c r="C27" s="19" t="s">
        <v>66</v>
      </c>
      <c r="D27" s="19"/>
      <c r="E27" s="19" t="s">
        <v>106</v>
      </c>
      <c r="F27" s="24">
        <v>632393.32999999996</v>
      </c>
    </row>
    <row r="28" spans="2:6" s="22" customFormat="1" ht="15.6" x14ac:dyDescent="0.3">
      <c r="B28" s="19" t="s">
        <v>32</v>
      </c>
      <c r="C28" s="19" t="s">
        <v>33</v>
      </c>
      <c r="D28" s="19"/>
      <c r="E28" s="19" t="s">
        <v>106</v>
      </c>
      <c r="F28" s="24">
        <v>149985.87</v>
      </c>
    </row>
    <row r="29" spans="2:6" s="22" customFormat="1" ht="15.6" x14ac:dyDescent="0.3">
      <c r="B29" s="19" t="s">
        <v>69</v>
      </c>
      <c r="C29" s="19" t="s">
        <v>107</v>
      </c>
      <c r="D29" s="19" t="s">
        <v>71</v>
      </c>
      <c r="E29" s="19" t="s">
        <v>106</v>
      </c>
      <c r="F29" s="24">
        <v>43907.16</v>
      </c>
    </row>
    <row r="30" spans="2:6" s="22" customFormat="1" ht="15.6" x14ac:dyDescent="0.3">
      <c r="B30" s="19" t="s">
        <v>69</v>
      </c>
      <c r="C30" s="19" t="s">
        <v>108</v>
      </c>
      <c r="D30" s="19" t="s">
        <v>71</v>
      </c>
      <c r="E30" s="19" t="s">
        <v>106</v>
      </c>
      <c r="F30" s="24">
        <v>42311</v>
      </c>
    </row>
    <row r="31" spans="2:6" s="22" customFormat="1" ht="15.6" x14ac:dyDescent="0.3">
      <c r="B31" s="20" t="s">
        <v>4</v>
      </c>
      <c r="C31" s="23" t="s">
        <v>109</v>
      </c>
      <c r="D31" s="19"/>
      <c r="E31" s="19" t="s">
        <v>106</v>
      </c>
      <c r="F31" s="24">
        <v>439322.47</v>
      </c>
    </row>
    <row r="32" spans="2:6" s="22" customFormat="1" ht="15.6" x14ac:dyDescent="0.3">
      <c r="B32" s="19" t="s">
        <v>67</v>
      </c>
      <c r="C32" s="19" t="s">
        <v>110</v>
      </c>
      <c r="D32" s="19" t="s">
        <v>111</v>
      </c>
      <c r="E32" s="19" t="s">
        <v>106</v>
      </c>
      <c r="F32" s="24">
        <v>535473.4</v>
      </c>
    </row>
    <row r="33" spans="2:6" s="22" customFormat="1" ht="15.6" x14ac:dyDescent="0.3">
      <c r="B33" s="61" t="s">
        <v>112</v>
      </c>
      <c r="C33" s="61" t="s">
        <v>113</v>
      </c>
      <c r="D33" s="61"/>
      <c r="E33" s="19" t="s">
        <v>106</v>
      </c>
      <c r="F33" s="66">
        <v>750000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3125-4757-48A8-B811-9478B1633474}">
  <dimension ref="B2:F28"/>
  <sheetViews>
    <sheetView workbookViewId="0">
      <selection activeCell="D13" sqref="D13"/>
    </sheetView>
  </sheetViews>
  <sheetFormatPr defaultRowHeight="14.4" x14ac:dyDescent="0.3"/>
  <cols>
    <col min="2" max="2" width="20.44140625" bestFit="1" customWidth="1"/>
    <col min="3" max="3" width="70.109375" bestFit="1" customWidth="1"/>
    <col min="4" max="4" width="47.33203125" bestFit="1" customWidth="1"/>
    <col min="5" max="5" width="9.88671875" bestFit="1" customWidth="1"/>
    <col min="6" max="6" width="12.88671875" bestFit="1" customWidth="1"/>
  </cols>
  <sheetData>
    <row r="2" spans="2:6" s="22" customFormat="1" ht="15.6" x14ac:dyDescent="0.3">
      <c r="B2" s="61" t="s">
        <v>114</v>
      </c>
      <c r="C2" s="61" t="s">
        <v>115</v>
      </c>
      <c r="D2" s="19" t="s">
        <v>116</v>
      </c>
      <c r="E2" s="19" t="s">
        <v>117</v>
      </c>
      <c r="F2" s="21">
        <v>49126</v>
      </c>
    </row>
    <row r="3" spans="2:6" s="22" customFormat="1" ht="15.6" x14ac:dyDescent="0.3">
      <c r="B3" s="19" t="s">
        <v>35</v>
      </c>
      <c r="C3" s="19" t="s">
        <v>118</v>
      </c>
      <c r="D3" s="19" t="s">
        <v>37</v>
      </c>
      <c r="E3" s="19" t="s">
        <v>117</v>
      </c>
      <c r="F3" s="21">
        <v>280.01</v>
      </c>
    </row>
    <row r="4" spans="2:6" s="22" customFormat="1" ht="15.6" x14ac:dyDescent="0.3">
      <c r="B4" s="19" t="s">
        <v>22</v>
      </c>
      <c r="C4" s="19" t="s">
        <v>119</v>
      </c>
      <c r="D4" s="19" t="s">
        <v>120</v>
      </c>
      <c r="E4" s="19" t="s">
        <v>117</v>
      </c>
      <c r="F4" s="21">
        <v>101500</v>
      </c>
    </row>
    <row r="5" spans="2:6" s="22" customFormat="1" ht="15.6" x14ac:dyDescent="0.3">
      <c r="B5" s="19" t="s">
        <v>19</v>
      </c>
      <c r="C5" s="19" t="s">
        <v>121</v>
      </c>
      <c r="D5" s="19" t="s">
        <v>21</v>
      </c>
      <c r="E5" s="19" t="s">
        <v>117</v>
      </c>
      <c r="F5" s="21">
        <v>55000</v>
      </c>
    </row>
    <row r="6" spans="2:6" s="22" customFormat="1" ht="15.6" x14ac:dyDescent="0.3">
      <c r="B6" s="19" t="s">
        <v>38</v>
      </c>
      <c r="C6" s="19" t="s">
        <v>122</v>
      </c>
      <c r="D6" s="19" t="s">
        <v>40</v>
      </c>
      <c r="E6" s="19" t="s">
        <v>117</v>
      </c>
      <c r="F6" s="21">
        <v>63988.12</v>
      </c>
    </row>
    <row r="7" spans="2:6" s="22" customFormat="1" ht="15.6" x14ac:dyDescent="0.3">
      <c r="B7" s="19" t="s">
        <v>78</v>
      </c>
      <c r="C7" s="19" t="s">
        <v>123</v>
      </c>
      <c r="D7" s="19" t="s">
        <v>30</v>
      </c>
      <c r="E7" s="19" t="s">
        <v>124</v>
      </c>
      <c r="F7" s="21">
        <v>126339.53</v>
      </c>
    </row>
    <row r="8" spans="2:6" s="22" customFormat="1" ht="15.6" x14ac:dyDescent="0.3">
      <c r="B8" s="65" t="s">
        <v>90</v>
      </c>
      <c r="C8" s="65" t="s">
        <v>125</v>
      </c>
      <c r="D8" s="61" t="s">
        <v>92</v>
      </c>
      <c r="E8" s="19" t="s">
        <v>117</v>
      </c>
      <c r="F8" s="66">
        <v>148048.48000000001</v>
      </c>
    </row>
    <row r="9" spans="2:6" s="22" customFormat="1" ht="15.6" x14ac:dyDescent="0.3">
      <c r="B9" s="65" t="s">
        <v>90</v>
      </c>
      <c r="C9" s="65" t="s">
        <v>126</v>
      </c>
      <c r="D9" s="61" t="s">
        <v>94</v>
      </c>
      <c r="E9" s="19" t="s">
        <v>117</v>
      </c>
      <c r="F9" s="66">
        <v>29609.7</v>
      </c>
    </row>
    <row r="10" spans="2:6" s="22" customFormat="1" ht="15.6" x14ac:dyDescent="0.3">
      <c r="B10" s="19" t="s">
        <v>127</v>
      </c>
      <c r="C10" s="19" t="s">
        <v>128</v>
      </c>
      <c r="D10" s="19" t="s">
        <v>129</v>
      </c>
      <c r="E10" s="19" t="s">
        <v>117</v>
      </c>
      <c r="F10" s="24">
        <v>800.4</v>
      </c>
    </row>
    <row r="11" spans="2:6" s="22" customFormat="1" ht="15.6" x14ac:dyDescent="0.3">
      <c r="B11" s="20" t="s">
        <v>4</v>
      </c>
      <c r="C11" s="23" t="s">
        <v>130</v>
      </c>
      <c r="D11" s="19"/>
      <c r="E11" s="19" t="s">
        <v>117</v>
      </c>
      <c r="F11" s="24">
        <v>443374.29</v>
      </c>
    </row>
    <row r="12" spans="2:6" s="22" customFormat="1" ht="15.6" x14ac:dyDescent="0.3">
      <c r="B12" s="19" t="s">
        <v>45</v>
      </c>
      <c r="C12" s="19" t="s">
        <v>46</v>
      </c>
      <c r="D12" s="19" t="s">
        <v>47</v>
      </c>
      <c r="E12" s="19" t="s">
        <v>117</v>
      </c>
      <c r="F12" s="21">
        <v>1946.99</v>
      </c>
    </row>
    <row r="13" spans="2:6" s="22" customFormat="1" ht="15.6" x14ac:dyDescent="0.3">
      <c r="B13" s="20" t="s">
        <v>53</v>
      </c>
      <c r="C13" s="19" t="s">
        <v>54</v>
      </c>
      <c r="D13" s="19" t="s">
        <v>89</v>
      </c>
      <c r="E13" s="19" t="s">
        <v>117</v>
      </c>
      <c r="F13" s="21">
        <v>35365</v>
      </c>
    </row>
    <row r="14" spans="2:6" s="22" customFormat="1" ht="15.6" x14ac:dyDescent="0.3">
      <c r="B14" s="20" t="s">
        <v>55</v>
      </c>
      <c r="C14" s="19" t="s">
        <v>56</v>
      </c>
      <c r="D14" s="19" t="s">
        <v>89</v>
      </c>
      <c r="E14" s="19" t="s">
        <v>117</v>
      </c>
      <c r="F14" s="24">
        <v>363067.59</v>
      </c>
    </row>
    <row r="15" spans="2:6" s="22" customFormat="1" ht="15.6" x14ac:dyDescent="0.3">
      <c r="B15" s="61" t="s">
        <v>112</v>
      </c>
      <c r="C15" s="61" t="s">
        <v>113</v>
      </c>
      <c r="D15" s="61"/>
      <c r="E15" s="19" t="s">
        <v>117</v>
      </c>
      <c r="F15" s="66">
        <v>250000</v>
      </c>
    </row>
    <row r="16" spans="2:6" s="22" customFormat="1" ht="15.6" x14ac:dyDescent="0.3">
      <c r="B16" s="61" t="s">
        <v>112</v>
      </c>
      <c r="C16" s="61" t="s">
        <v>113</v>
      </c>
      <c r="D16" s="61"/>
      <c r="E16" s="19" t="s">
        <v>117</v>
      </c>
      <c r="F16" s="66">
        <v>250000</v>
      </c>
    </row>
    <row r="17" spans="2:6" s="22" customFormat="1" ht="15.6" x14ac:dyDescent="0.3">
      <c r="B17" s="19" t="s">
        <v>16</v>
      </c>
      <c r="C17" s="19" t="s">
        <v>77</v>
      </c>
      <c r="D17" s="19" t="s">
        <v>18</v>
      </c>
      <c r="E17" s="19" t="s">
        <v>117</v>
      </c>
      <c r="F17" s="24">
        <v>20684.560000000001</v>
      </c>
    </row>
    <row r="18" spans="2:6" s="22" customFormat="1" ht="15.6" x14ac:dyDescent="0.3">
      <c r="B18" s="19" t="s">
        <v>60</v>
      </c>
      <c r="C18" s="19" t="s">
        <v>61</v>
      </c>
      <c r="D18" s="19" t="s">
        <v>62</v>
      </c>
      <c r="E18" s="19" t="s">
        <v>117</v>
      </c>
      <c r="F18" s="24">
        <v>6053.59</v>
      </c>
    </row>
    <row r="21" spans="2:6" s="22" customFormat="1" ht="15.6" x14ac:dyDescent="0.3">
      <c r="B21" s="61" t="s">
        <v>112</v>
      </c>
      <c r="C21" s="61" t="s">
        <v>113</v>
      </c>
      <c r="D21" s="61"/>
      <c r="E21" s="19" t="s">
        <v>131</v>
      </c>
      <c r="F21" s="66">
        <v>250000</v>
      </c>
    </row>
    <row r="22" spans="2:6" s="22" customFormat="1" ht="15.6" x14ac:dyDescent="0.3">
      <c r="B22" s="61" t="s">
        <v>112</v>
      </c>
      <c r="C22" s="61" t="s">
        <v>113</v>
      </c>
      <c r="D22" s="61"/>
      <c r="E22" s="19" t="s">
        <v>132</v>
      </c>
      <c r="F22" s="66">
        <v>150000</v>
      </c>
    </row>
    <row r="23" spans="2:6" s="22" customFormat="1" ht="15.6" x14ac:dyDescent="0.3">
      <c r="B23" s="61" t="s">
        <v>103</v>
      </c>
      <c r="C23" s="61" t="s">
        <v>104</v>
      </c>
      <c r="D23" s="61" t="s">
        <v>89</v>
      </c>
      <c r="E23" s="19" t="s">
        <v>133</v>
      </c>
      <c r="F23" s="66">
        <v>274447</v>
      </c>
    </row>
    <row r="24" spans="2:6" s="22" customFormat="1" ht="15.6" x14ac:dyDescent="0.3">
      <c r="B24" s="67" t="s">
        <v>134</v>
      </c>
      <c r="C24" s="67" t="s">
        <v>135</v>
      </c>
      <c r="D24" s="67" t="s">
        <v>136</v>
      </c>
      <c r="E24" s="19" t="s">
        <v>137</v>
      </c>
      <c r="F24" s="74">
        <v>18098</v>
      </c>
    </row>
    <row r="25" spans="2:6" s="22" customFormat="1" ht="15.6" x14ac:dyDescent="0.3">
      <c r="B25" s="19" t="s">
        <v>25</v>
      </c>
      <c r="C25" s="19" t="s">
        <v>26</v>
      </c>
      <c r="D25" s="19" t="s">
        <v>138</v>
      </c>
      <c r="E25" s="19" t="s">
        <v>137</v>
      </c>
      <c r="F25" s="21">
        <v>304217.56</v>
      </c>
    </row>
    <row r="26" spans="2:6" s="22" customFormat="1" ht="15.6" x14ac:dyDescent="0.3">
      <c r="B26" s="19" t="s">
        <v>67</v>
      </c>
      <c r="C26" s="19" t="s">
        <v>139</v>
      </c>
      <c r="D26" s="19" t="s">
        <v>111</v>
      </c>
      <c r="E26" s="19" t="s">
        <v>137</v>
      </c>
      <c r="F26" s="24">
        <v>413563.75</v>
      </c>
    </row>
    <row r="27" spans="2:6" s="22" customFormat="1" ht="15.6" x14ac:dyDescent="0.3">
      <c r="B27" s="20" t="s">
        <v>4</v>
      </c>
      <c r="C27" s="23" t="s">
        <v>140</v>
      </c>
      <c r="D27" s="19"/>
      <c r="E27" s="19" t="s">
        <v>137</v>
      </c>
      <c r="F27" s="24">
        <v>457938.76</v>
      </c>
    </row>
    <row r="28" spans="2:6" s="22" customFormat="1" ht="15.6" x14ac:dyDescent="0.3">
      <c r="B28" s="67" t="s">
        <v>134</v>
      </c>
      <c r="C28" s="67" t="s">
        <v>141</v>
      </c>
      <c r="D28" s="19" t="s">
        <v>142</v>
      </c>
      <c r="E28" s="19" t="s">
        <v>137</v>
      </c>
      <c r="F28" s="24">
        <v>233250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Simulation</vt:lpstr>
      <vt:lpstr>Clean FIN EUR</vt:lpstr>
      <vt:lpstr>Clean FIN MXN</vt:lpstr>
      <vt:lpstr>Calc - opperational</vt:lpstr>
      <vt:lpstr>Glossary</vt:lpstr>
      <vt:lpstr>Payment+Assesment</vt:lpstr>
      <vt:lpstr>03-2026</vt:lpstr>
      <vt:lpstr>04-2026</vt:lpstr>
      <vt:lpstr>05-2026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Kostadin Radkov</dc:creator>
  <cp:lastModifiedBy>Kostadin Radkov</cp:lastModifiedBy>
  <dcterms:created xsi:type="dcterms:W3CDTF">2026-06-03T14:06:00Z</dcterms:created>
  <dcterms:modified xsi:type="dcterms:W3CDTF">2026-06-11T10:34:07Z</dcterms:modified>
</cp:coreProperties>
</file>